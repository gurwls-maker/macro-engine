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개인\000.개인\02.식단,부스터,루틴\00.린매스업엔진\"/>
    </mc:Choice>
  </mc:AlternateContent>
  <xr:revisionPtr revIDLastSave="0" documentId="13_ncr:1_{49EBBD59-0A92-48BD-97C4-1D783CBE03A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대시보드" sheetId="3" r:id="rId1"/>
    <sheet name="매크로 계산기" sheetId="1" r:id="rId2"/>
    <sheet name="기준데이터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22" i="3" l="1"/>
  <c r="K20" i="3"/>
  <c r="J20" i="3"/>
  <c r="J19" i="3"/>
  <c r="K18" i="3"/>
  <c r="J18" i="3"/>
  <c r="K17" i="3"/>
  <c r="J17" i="3"/>
  <c r="J16" i="3"/>
  <c r="C18" i="3"/>
  <c r="B18" i="3"/>
  <c r="F17" i="3"/>
  <c r="D17" i="3"/>
  <c r="B17" i="3"/>
  <c r="B16" i="3"/>
  <c r="J13" i="3"/>
  <c r="B13" i="3"/>
  <c r="B12" i="3"/>
  <c r="B11" i="3"/>
  <c r="B10" i="3"/>
  <c r="J9" i="3"/>
  <c r="B9" i="3"/>
  <c r="J5" i="3"/>
  <c r="F5" i="3"/>
  <c r="B5" i="3"/>
  <c r="B3" i="3"/>
  <c r="B2" i="3"/>
  <c r="A46" i="1"/>
  <c r="D41" i="1"/>
  <c r="E40" i="1"/>
  <c r="D40" i="1"/>
  <c r="D39" i="1"/>
  <c r="D38" i="1"/>
  <c r="D37" i="1"/>
  <c r="A41" i="1"/>
  <c r="A40" i="1"/>
  <c r="A39" i="1"/>
  <c r="A38" i="1"/>
  <c r="A37" i="1"/>
  <c r="D33" i="1"/>
  <c r="A33" i="1"/>
  <c r="A32" i="1"/>
  <c r="D30" i="2"/>
  <c r="E14" i="1"/>
  <c r="C14" i="1"/>
  <c r="R40" i="1"/>
  <c r="Q40" i="1"/>
  <c r="Q39" i="1"/>
  <c r="Q38" i="1"/>
  <c r="R37" i="1"/>
  <c r="Q37" i="1"/>
  <c r="Q35" i="1"/>
  <c r="Q34" i="1"/>
  <c r="Q33" i="1"/>
  <c r="R32" i="1"/>
  <c r="Q32" i="1"/>
  <c r="I45" i="2"/>
  <c r="I44" i="2"/>
  <c r="I43" i="2"/>
  <c r="I42" i="2"/>
  <c r="I41" i="2"/>
  <c r="I40" i="2"/>
  <c r="H45" i="2"/>
  <c r="H44" i="2"/>
  <c r="H43" i="2"/>
  <c r="H42" i="2"/>
  <c r="H41" i="2"/>
  <c r="H40" i="2"/>
  <c r="N44" i="1" s="1"/>
  <c r="I39" i="2"/>
  <c r="H39" i="2"/>
  <c r="N40" i="1"/>
  <c r="N39" i="1"/>
  <c r="N38" i="1"/>
  <c r="N37" i="1"/>
  <c r="N35" i="1"/>
  <c r="N34" i="1"/>
  <c r="N33" i="1"/>
  <c r="O32" i="1"/>
  <c r="N32" i="1"/>
  <c r="E26" i="2"/>
  <c r="P44" i="1"/>
  <c r="P43" i="1"/>
  <c r="P42" i="1"/>
  <c r="P41" i="1"/>
  <c r="P40" i="1"/>
  <c r="P39" i="1"/>
  <c r="P38" i="1"/>
  <c r="P37" i="1"/>
  <c r="P36" i="1"/>
  <c r="P35" i="1"/>
  <c r="P34" i="1"/>
  <c r="P33" i="1"/>
  <c r="H46" i="1"/>
  <c r="L43" i="1"/>
  <c r="J43" i="1"/>
  <c r="H43" i="1"/>
  <c r="L42" i="1"/>
  <c r="J42" i="1"/>
  <c r="H42" i="1"/>
  <c r="H41" i="1"/>
  <c r="H37" i="1"/>
  <c r="L36" i="1"/>
  <c r="J36" i="1"/>
  <c r="H36" i="1"/>
  <c r="L35" i="1"/>
  <c r="J35" i="1"/>
  <c r="H35" i="1"/>
  <c r="L34" i="1"/>
  <c r="J34" i="1"/>
  <c r="H34" i="1"/>
  <c r="H33" i="1"/>
  <c r="F27" i="1"/>
  <c r="C26" i="1"/>
  <c r="J10" i="1"/>
  <c r="H10" i="1"/>
  <c r="E11" i="1"/>
  <c r="A22" i="1"/>
  <c r="A21" i="1"/>
  <c r="A20" i="1"/>
  <c r="A19" i="1"/>
  <c r="O46" i="1"/>
  <c r="O43" i="1" s="1"/>
  <c r="K43" i="1" s="1"/>
  <c r="O42" i="1"/>
  <c r="M42" i="1"/>
  <c r="K36" i="1"/>
  <c r="I35" i="1"/>
  <c r="M34" i="1"/>
  <c r="K34" i="1"/>
  <c r="I34" i="1"/>
  <c r="N24" i="1"/>
  <c r="K19" i="3"/>
  <c r="E29" i="2"/>
  <c r="E28" i="2"/>
  <c r="E27" i="2"/>
  <c r="E14" i="2"/>
  <c r="E13" i="2"/>
  <c r="O36" i="1" s="1"/>
  <c r="M36" i="1" s="1"/>
  <c r="E12" i="2"/>
  <c r="D9" i="1"/>
  <c r="C17" i="2"/>
  <c r="A17" i="2"/>
  <c r="E6" i="2"/>
  <c r="E5" i="2"/>
  <c r="E4" i="2"/>
  <c r="E3" i="2"/>
  <c r="B29" i="1"/>
  <c r="N27" i="1"/>
  <c r="M27" i="1"/>
  <c r="L27" i="1"/>
  <c r="K27" i="1"/>
  <c r="I19" i="1"/>
  <c r="I20" i="1" s="1"/>
  <c r="I27" i="1" s="1"/>
  <c r="I18" i="1"/>
  <c r="I9" i="1"/>
  <c r="D8" i="1"/>
  <c r="D7" i="1"/>
  <c r="D5" i="1"/>
  <c r="D6" i="1" s="1"/>
  <c r="G17" i="3" l="1"/>
  <c r="O33" i="1"/>
  <c r="O34" i="1" s="1"/>
  <c r="O35" i="1" s="1"/>
  <c r="D12" i="1"/>
  <c r="O24" i="1" s="1"/>
  <c r="O40" i="1"/>
  <c r="D11" i="1"/>
  <c r="A8" i="2" s="1"/>
  <c r="I43" i="1"/>
  <c r="O44" i="1"/>
  <c r="M43" i="1" s="1"/>
  <c r="I21" i="1"/>
  <c r="I22" i="1" s="1"/>
  <c r="C31" i="1" s="1"/>
  <c r="I23" i="1"/>
  <c r="B18" i="1"/>
  <c r="O45" i="1" l="1"/>
  <c r="H44" i="1" s="1"/>
  <c r="A44" i="1"/>
  <c r="J10" i="3"/>
  <c r="D5" i="2"/>
  <c r="D6" i="2"/>
  <c r="D3" i="2"/>
  <c r="O37" i="1"/>
  <c r="I37" i="1" s="1"/>
  <c r="F4" i="2"/>
  <c r="C3" i="2"/>
  <c r="F3" i="2"/>
  <c r="F5" i="2"/>
  <c r="C6" i="2"/>
  <c r="C5" i="2"/>
  <c r="B19" i="1"/>
  <c r="D4" i="2"/>
  <c r="B20" i="1"/>
  <c r="C4" i="2"/>
  <c r="F6" i="2"/>
  <c r="I24" i="1"/>
  <c r="C30" i="1" s="1"/>
  <c r="D31" i="1"/>
  <c r="H27" i="1"/>
  <c r="D10" i="1"/>
  <c r="D13" i="1" s="1"/>
  <c r="J27" i="1"/>
  <c r="E38" i="1" l="1"/>
  <c r="C17" i="3"/>
  <c r="O38" i="1"/>
  <c r="R38" i="1"/>
  <c r="B30" i="1"/>
  <c r="B21" i="1"/>
  <c r="E17" i="3" s="1"/>
  <c r="C28" i="1"/>
  <c r="C27" i="1"/>
  <c r="N28" i="1"/>
  <c r="N29" i="1" s="1"/>
  <c r="N31" i="1" s="1"/>
  <c r="O27" i="1"/>
  <c r="P27" i="1"/>
  <c r="P28" i="1" s="1"/>
  <c r="B28" i="1"/>
  <c r="B27" i="1"/>
  <c r="R39" i="1" l="1"/>
  <c r="E39" i="1"/>
  <c r="B22" i="1"/>
  <c r="O39" i="1"/>
  <c r="D34" i="1" l="1"/>
  <c r="F6" i="3"/>
  <c r="D27" i="1"/>
  <c r="B6" i="3" s="1"/>
  <c r="A34" i="1" l="1"/>
  <c r="O28" i="1"/>
  <c r="N30" i="1"/>
  <c r="D29" i="1" s="1"/>
  <c r="E11" i="3" l="1"/>
  <c r="D11" i="3"/>
  <c r="C11" i="3"/>
  <c r="R34" i="1"/>
  <c r="C39" i="1"/>
  <c r="B39" i="1"/>
  <c r="O29" i="1"/>
  <c r="O30" i="1" s="1"/>
  <c r="P29" i="1" s="1"/>
  <c r="D28" i="1" s="1"/>
  <c r="M35" i="1"/>
  <c r="O31" i="1"/>
  <c r="E10" i="3" l="1"/>
  <c r="D10" i="3"/>
  <c r="C10" i="3"/>
  <c r="B38" i="1"/>
  <c r="C38" i="1"/>
  <c r="R33" i="1"/>
  <c r="D30" i="1"/>
  <c r="A36" i="1" s="1"/>
  <c r="I36" i="1"/>
  <c r="E12" i="3" l="1"/>
  <c r="D12" i="3"/>
  <c r="C12" i="3"/>
  <c r="C13" i="3"/>
  <c r="C40" i="1"/>
  <c r="B40" i="1"/>
  <c r="B41" i="1"/>
  <c r="K35" i="1"/>
  <c r="J11" i="3" s="1"/>
  <c r="R35" i="1"/>
  <c r="J6" i="3" l="1"/>
  <c r="A42" i="1"/>
  <c r="E41" i="1"/>
</calcChain>
</file>

<file path=xl/sharedStrings.xml><?xml version="1.0" encoding="utf-8"?>
<sst xmlns="http://schemas.openxmlformats.org/spreadsheetml/2006/main" count="166" uniqueCount="147">
  <si>
    <t>🏃  런매스업 v2 — 신체정보 연동 매크로 보간 엔진</t>
  </si>
  <si>
    <t>신체정보 · 강도값을 입력하면 오늘의 최적 매크로가 자동 계산됩니다</t>
  </si>
  <si>
    <t>속도 · 인클라인 · 시간을 입력하면 소비 칼로리와 유산소 강도가 자동 계산됩니다</t>
  </si>
  <si>
    <t>👤  신체정보 입력</t>
  </si>
  <si>
    <t>📊  자동 계산값</t>
  </si>
  <si>
    <t>▶  운동 입력</t>
  </si>
  <si>
    <t>키 (cm)</t>
  </si>
  <si>
    <t>제지방체중 (LBM)</t>
  </si>
  <si>
    <t>kg</t>
  </si>
  <si>
    <t>운동 종류</t>
  </si>
  <si>
    <t>트레드밀 워킹</t>
  </si>
  <si>
    <t>드롭다운 선택</t>
  </si>
  <si>
    <t>체중 (kg)</t>
  </si>
  <si>
    <t>BMR</t>
  </si>
  <si>
    <t>kcal</t>
  </si>
  <si>
    <t>Katch-McArdle/Mifflin</t>
  </si>
  <si>
    <t>속도 (km/h)</t>
  </si>
  <si>
    <t>트레드밀 표시 속도</t>
  </si>
  <si>
    <t>골격근량 (kg)</t>
  </si>
  <si>
    <t>골격근 비율</t>
  </si>
  <si>
    <t>%</t>
  </si>
  <si>
    <t>인클라인 경사도 (%)</t>
  </si>
  <si>
    <t>0 ~ 15%</t>
  </si>
  <si>
    <t>체지방률 (%)</t>
  </si>
  <si>
    <t>체지방량</t>
  </si>
  <si>
    <t>운동 시간 (분)</t>
  </si>
  <si>
    <t>분 단위 입력</t>
  </si>
  <si>
    <t>업무유형 + 보정값</t>
  </si>
  <si>
    <t>신체정보 자동 연동</t>
  </si>
  <si>
    <t>성별</t>
  </si>
  <si>
    <t>남성</t>
  </si>
  <si>
    <t>유산소 강도 (Xc)</t>
  </si>
  <si>
    <t>유산소 계산기 연동</t>
  </si>
  <si>
    <t>활동수준</t>
  </si>
  <si>
    <t>운동인</t>
  </si>
  <si>
    <t>활동계수</t>
  </si>
  <si>
    <t>운동 루틴</t>
  </si>
  <si>
    <t>웨이트 강도 (Xw)</t>
  </si>
  <si>
    <t>운동 루틴 연동</t>
  </si>
  <si>
    <t>목적 (프로그램)</t>
  </si>
  <si>
    <t>린매스업</t>
  </si>
  <si>
    <t>통합 훈련강도 X</t>
  </si>
  <si>
    <t>업무 유형</t>
  </si>
  <si>
    <t>고강도 현장</t>
  </si>
  <si>
    <t>업무 보정</t>
  </si>
  <si>
    <t>-0.20 ~ +0.20</t>
  </si>
  <si>
    <t>업무유형 기본값에 개인차만 소폭 보정</t>
  </si>
  <si>
    <t>🔥  대사량 계산 (TDEE)</t>
  </si>
  <si>
    <t>⚙️  ACSM 공식 계산 과정</t>
  </si>
  <si>
    <t>기초대사량 (BMR)</t>
  </si>
  <si>
    <t>속도 변환 (m/min)</t>
  </si>
  <si>
    <t>m/min</t>
  </si>
  <si>
    <t>×</t>
  </si>
  <si>
    <t>VO2 (ACSM 공식)</t>
  </si>
  <si>
    <t>ml/kg/min</t>
  </si>
  <si>
    <t>MET 추정값</t>
  </si>
  <si>
    <t>METs</t>
  </si>
  <si>
    <t>소비 칼로리/분</t>
  </si>
  <si>
    <t>유산소 소비 칼로리 (총)</t>
  </si>
  <si>
    <t>유산소 강도 (0~1)</t>
  </si>
  <si>
    <t>EPOC (고강도 추가소비)</t>
  </si>
  <si>
    <t>📊  오늘의 매크로 (최종 출력)</t>
  </si>
  <si>
    <t>📋  결과 요약</t>
  </si>
  <si>
    <t>항목</t>
  </si>
  <si>
    <t>보간 기준값</t>
  </si>
  <si>
    <t>최종값</t>
  </si>
  <si>
    <t>단위</t>
  </si>
  <si>
    <t>설명</t>
  </si>
  <si>
    <t>총 소비 칼로리</t>
  </si>
  <si>
    <t>MET</t>
  </si>
  <si>
    <t>유산소 강도</t>
  </si>
  <si>
    <t>속도×경사도</t>
  </si>
  <si>
    <t>시간</t>
  </si>
  <si>
    <t>helper_protein</t>
  </si>
  <si>
    <t>helper_fat</t>
  </si>
  <si>
    <t>helper_carb</t>
  </si>
  <si>
    <t>칼로리 (kcal)</t>
  </si>
  <si>
    <t>탄수화물 (g)</t>
  </si>
  <si>
    <t>g</t>
  </si>
  <si>
    <t>단백질·지방 하한 확보 후 남는 칼로리를 탄수로 배분</t>
  </si>
  <si>
    <t>단백질 (g)</t>
  </si>
  <si>
    <t>체지방률·성별·훈련강도 반영 단백질</t>
  </si>
  <si>
    <t>📐  인클라인별 칼로리 배율 참고 (5km/h 워킹 기준, 체중 80kg, 30분)</t>
  </si>
  <si>
    <t>지방 (g)</t>
  </si>
  <si>
    <t>지방 하한과 탄수 상한 적용 후 잔여 칼로리</t>
  </si>
  <si>
    <t>0% (평지)</t>
  </si>
  <si>
    <t>3% (약경사)</t>
  </si>
  <si>
    <t>5% (중경사)</t>
  </si>
  <si>
    <t>8% (고경사)</t>
  </si>
  <si>
    <t>10% (급경사)</t>
  </si>
  <si>
    <t>15% (최대)</t>
  </si>
  <si>
    <t>유산소 소비 (kcal)</t>
  </si>
  <si>
    <t>─</t>
  </si>
  <si>
    <t>유산소 탭에서 계산</t>
  </si>
  <si>
    <t>142 kcal</t>
  </si>
  <si>
    <t>196 kcal</t>
  </si>
  <si>
    <t>232 kcal</t>
  </si>
  <si>
    <t>286 kcal</t>
  </si>
  <si>
    <t>322 kcal</t>
  </si>
  <si>
    <t>412 kcal</t>
  </si>
  <si>
    <t>📋  기준데이터 — 신체정보 연동 동적 타입별 기준값</t>
  </si>
  <si>
    <t>타입</t>
  </si>
  <si>
    <t>이름</t>
  </si>
  <si>
    <t>칼로리(kcal)</t>
  </si>
  <si>
    <t>탄수화물(g)</t>
  </si>
  <si>
    <t>단백질(g)</t>
  </si>
  <si>
    <t>지방(g)</t>
  </si>
  <si>
    <t>X</t>
  </si>
  <si>
    <t>Y</t>
  </si>
  <si>
    <t>비고</t>
  </si>
  <si>
    <t>C</t>
  </si>
  <si>
    <t>완전회복</t>
  </si>
  <si>
    <t>TDEE_base × 1.0</t>
  </si>
  <si>
    <t>B</t>
  </si>
  <si>
    <t>표준린매스업</t>
  </si>
  <si>
    <t>TDEE_base × 1.19</t>
  </si>
  <si>
    <t>D</t>
  </si>
  <si>
    <t>현장노동</t>
  </si>
  <si>
    <t>TDEE_base × 1.09</t>
  </si>
  <si>
    <t>A</t>
  </si>
  <si>
    <t>극강도소모</t>
  </si>
  <si>
    <t>TDEE_base × 1.28</t>
  </si>
  <si>
    <t xml:space="preserve"> 활동수준 연동 활동계수</t>
  </si>
  <si>
    <t>일반인</t>
  </si>
  <si>
    <t>프로</t>
  </si>
  <si>
    <t>📐  공식 설명</t>
  </si>
  <si>
    <t>통합 훈련강도</t>
  </si>
  <si>
    <t>보간 방식</t>
  </si>
  <si>
    <t>ACSM 워킹 VO2</t>
  </si>
  <si>
    <t>ACSM 러닝 VO2</t>
  </si>
  <si>
    <t>kcal 환산</t>
  </si>
  <si>
    <t>🎯  목적별 계산 파라미터</t>
  </si>
  <si>
    <t>목적</t>
  </si>
  <si>
    <t>단백질(g/kg)</t>
  </si>
  <si>
    <t>EPOC 계수</t>
  </si>
  <si>
    <t>다이어트</t>
  </si>
  <si>
    <t>벌크업</t>
  </si>
  <si>
    <t>업무유형</t>
  </si>
  <si>
    <t>기본 Y</t>
  </si>
  <si>
    <t>사무직</t>
  </si>
  <si>
    <t>혼합형</t>
  </si>
  <si>
    <t>활동형</t>
  </si>
  <si>
    <t>현장직</t>
  </si>
  <si>
    <t>업무 강도 (Y, 자동)</t>
    <phoneticPr fontId="1" type="noConversion"/>
  </si>
  <si>
    <r>
      <t>🏃</t>
    </r>
    <r>
      <rPr>
        <b/>
        <sz val="14"/>
        <color rgb="FFFFFFFF"/>
        <rFont val="Calibri"/>
        <family val="2"/>
      </rPr>
      <t>‍</t>
    </r>
    <r>
      <rPr>
        <b/>
        <sz val="14"/>
        <color rgb="FFFFFFFF"/>
        <rFont val="Malgun Gothic"/>
        <family val="3"/>
        <charset val="129"/>
      </rPr>
      <t>♂️  유산소 운동 칼로리 계산기 (ACSM 공식 기반)</t>
    </r>
  </si>
  <si>
    <t>만 나이 (세)</t>
    <phoneticPr fontId="1" type="noConversion"/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</si>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</sst>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%"/>
    <numFmt numFmtId="178" formatCode="0.000"/>
    <numFmt numFmtId="179" formatCode="#,##0.0"/>
    <numFmt numFmtId="180" formatCode="#,##0.0&quot; kcal&quot;"/>
  </numFmts>
  <fonts count="50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10"/>
      <color rgb="FF1A5276"/>
      <name val="Malgun Gothic"/>
      <family val="3"/>
      <charset val="129"/>
    </font>
    <font>
      <sz val="10"/>
      <color rgb="FF1B5E2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7F8C8D"/>
      <name val="Malgun Gothic"/>
      <family val="3"/>
      <charset val="129"/>
    </font>
    <font>
      <sz val="10"/>
      <color theme="0" tint="-0.499984740745262"/>
      <name val="Malgun Gothic"/>
      <family val="3"/>
      <charset val="129"/>
    </font>
    <font>
      <sz val="10"/>
      <color rgb="FF555555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10"/>
      <color rgb="FF1D8348"/>
      <name val="Malgun Gothic"/>
      <family val="3"/>
      <charset val="129"/>
    </font>
    <font>
      <sz val="10"/>
      <color rgb="FFE74C3C"/>
      <name val="Malgun Gothic"/>
      <family val="3"/>
      <charset val="129"/>
    </font>
    <font>
      <sz val="10"/>
      <color rgb="FF95A5A6"/>
      <name val="Malgun Gothic"/>
      <family val="3"/>
      <charset val="129"/>
    </font>
    <font>
      <sz val="10"/>
      <color rgb="FF9A7D0A"/>
      <name val="Malgun Gothic"/>
      <family val="3"/>
      <charset val="129"/>
    </font>
    <font>
      <sz val="10"/>
      <color rgb="FF922B21"/>
      <name val="Malgun Gothic"/>
      <family val="3"/>
      <charset val="129"/>
    </font>
    <font>
      <b/>
      <sz val="14"/>
      <color rgb="FFFFFFFF"/>
      <name val="Malgun Gothic"/>
      <family val="3"/>
      <charset val="129"/>
    </font>
    <font>
      <b/>
      <sz val="14"/>
      <color rgb="FFFFFFFF"/>
      <name val="Calibri"/>
      <family val="2"/>
    </font>
    <font>
      <sz val="9.5"/>
      <color theme="1"/>
      <name val="Malgun Gothic"/>
      <family val="3"/>
      <charset val="129"/>
    </font>
    <font>
      <sz val="9.5"/>
      <color rgb="FFFFFFFF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7F8C8D"/>
      <name val="Malgun Gothic"/>
      <family val="3"/>
      <charset val="129"/>
    </font>
    <font>
      <sz val="9.5"/>
      <color rgb="FF7F8C8D"/>
      <name val="Malgun Gothic"/>
      <family val="3"/>
      <charset val="129"/>
    </font>
    <font>
      <sz val="9.5"/>
      <color rgb="FF95A5A6"/>
      <name val="Malgun Gothic"/>
      <family val="3"/>
      <charset val="129"/>
    </font>
    <font>
      <sz val="10.5"/>
      <color rgb="FF00008B"/>
      <name val="Malgun Gothic"/>
      <family val="3"/>
      <charset val="129"/>
    </font>
    <font>
      <sz val="10.5"/>
      <color rgb="FF1D8348"/>
      <name val="Malgun Gothic"/>
      <family val="3"/>
      <charset val="129"/>
    </font>
    <font>
      <sz val="10.5"/>
      <color rgb="FF1A5276"/>
      <name val="Malgun Gothic"/>
      <family val="3"/>
      <charset val="129"/>
    </font>
    <font>
      <sz val="10.5"/>
      <color rgb="FF7F8C8D"/>
      <name val="Malgun Gothic"/>
      <family val="3"/>
      <charset val="129"/>
    </font>
    <font>
      <sz val="10.5"/>
      <color rgb="FF1B5E20"/>
      <name val="Malgun Gothic"/>
      <family val="3"/>
      <charset val="129"/>
    </font>
    <font>
      <sz val="10.5"/>
      <name val="Malgun Gothic"/>
      <family val="3"/>
      <charset val="129"/>
    </font>
    <font>
      <sz val="10.5"/>
      <color theme="1"/>
      <name val="Malgun Gothic"/>
      <family val="3"/>
      <charset val="129"/>
    </font>
    <font>
      <sz val="10.5"/>
      <color rgb="FFE65100"/>
      <name val="Malgun Gothic"/>
      <family val="3"/>
      <charset val="129"/>
    </font>
    <font>
      <sz val="10.5"/>
      <color rgb="FF555555"/>
      <name val="Malgun Gothic"/>
      <family val="3"/>
      <charset val="129"/>
    </font>
    <font>
      <sz val="10.5"/>
      <color rgb="FFFFFFFF"/>
      <name val="Malgun Gothic"/>
      <family val="3"/>
      <charset val="129"/>
    </font>
    <font>
      <b/>
      <sz val="13"/>
      <color rgb="FFFFFFFF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9.5"/>
      <color theme="0" tint="-0.34998626667073579"/>
      <name val="Malgun Gothic"/>
      <family val="3"/>
      <charset val="129"/>
    </font>
    <font>
      <b/>
      <sz val="10"/>
      <color rgb="FF444444"/>
      <name val="Malgun Gothic"/>
      <family val="3"/>
      <charset val="129"/>
    </font>
    <font>
      <b/>
      <sz val="11"/>
      <color rgb="FF202020"/>
      <name val="Malgun Gothic"/>
      <family val="3"/>
      <charset val="129"/>
    </font>
    <font>
      <b/>
      <sz val="22"/>
      <color rgb="FF202020"/>
      <name val="Malgun Gothic"/>
      <family val="3"/>
      <charset val="129"/>
    </font>
    <font>
      <sz val="10"/>
      <color rgb="FF444444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8"/>
      <color rgb="FFFFFFFF"/>
      <name val="Malgun Gothic"/>
      <family val="3"/>
      <charset val="129"/>
    </font>
    <font>
      <b/>
      <sz val="16"/>
      <color rgb="FF202020"/>
      <name val="Malgun Gothic"/>
      <family val="3"/>
      <charset val="129"/>
    </font>
    <font>
      <b/>
      <sz val="12"/>
      <color rgb="FF202020"/>
      <name val="Malgun Gothic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rgb="FF1F2D3D"/>
        <bgColor rgb="FF1A3A4A"/>
      </patternFill>
    </fill>
    <fill>
      <patternFill patternType="solid">
        <fgColor rgb="FF2C3E50"/>
        <bgColor rgb="FF2E4057"/>
      </patternFill>
    </fill>
    <fill>
      <patternFill patternType="solid">
        <fgColor rgb="FF388E3C"/>
        <bgColor rgb="FF2E7D32"/>
      </patternFill>
    </fill>
    <fill>
      <patternFill patternType="solid">
        <fgColor rgb="FF2E4057"/>
        <bgColor rgb="FF2C3E50"/>
      </patternFill>
    </fill>
    <fill>
      <patternFill patternType="solid">
        <fgColor rgb="FF3D5A80"/>
        <bgColor rgb="FF455A64"/>
      </patternFill>
    </fill>
    <fill>
      <patternFill patternType="solid">
        <fgColor rgb="FFEEF2F7"/>
        <bgColor rgb="FFE8F4FD"/>
      </patternFill>
    </fill>
    <fill>
      <patternFill patternType="solid">
        <fgColor rgb="FFE8F4FD"/>
        <bgColor rgb="FFEEF2F7"/>
      </patternFill>
    </fill>
    <fill>
      <patternFill patternType="solid">
        <fgColor rgb="FFF5F5F5"/>
        <bgColor rgb="FFEEF2F7"/>
      </patternFill>
    </fill>
    <fill>
      <patternFill patternType="solid">
        <fgColor rgb="FFE8F5E9"/>
        <bgColor rgb="FFEEF2F7"/>
      </patternFill>
    </fill>
    <fill>
      <patternFill patternType="solid">
        <fgColor rgb="FFFDEBD0"/>
        <bgColor rgb="FFFFF9C4"/>
      </patternFill>
    </fill>
    <fill>
      <patternFill patternType="solid">
        <fgColor rgb="FFA5D6A7"/>
        <bgColor rgb="FFBDC3C7"/>
      </patternFill>
    </fill>
    <fill>
      <patternFill patternType="solid">
        <fgColor rgb="FFFFF9C4"/>
        <bgColor rgb="FFFFFFCC"/>
      </patternFill>
    </fill>
    <fill>
      <patternFill patternType="solid">
        <fgColor rgb="FF1A5276"/>
        <bgColor rgb="FF34495E"/>
      </patternFill>
    </fill>
    <fill>
      <patternFill patternType="solid">
        <fgColor rgb="FF27AE60"/>
        <bgColor rgb="FF388E3C"/>
      </patternFill>
    </fill>
    <fill>
      <patternFill patternType="solid">
        <fgColor rgb="FFE74C3C"/>
        <bgColor rgb="FFE65100"/>
      </patternFill>
    </fill>
    <fill>
      <patternFill patternType="solid">
        <fgColor rgb="FF37474F"/>
        <bgColor rgb="FF34495E"/>
      </patternFill>
    </fill>
    <fill>
      <patternFill patternType="solid">
        <fgColor rgb="FF546E7A"/>
        <bgColor rgb="FF5D6D7E"/>
      </patternFill>
    </fill>
    <fill>
      <patternFill patternType="solid">
        <fgColor rgb="FF5D6D7E"/>
        <bgColor rgb="FF546E7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3F3F3"/>
      </patternFill>
    </fill>
    <fill>
      <patternFill patternType="solid">
        <fgColor rgb="FF9117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2"/>
        <bgColor indexed="64"/>
      </patternFill>
    </fill>
    <fill>
      <patternFill patternType="solid">
        <fgColor rgb="FFDBDBDB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179" fontId="7" fillId="8" borderId="1" xfId="0" applyNumberFormat="1" applyFont="1" applyFill="1" applyBorder="1" applyAlignment="1">
      <alignment horizontal="center" vertical="center"/>
    </xf>
    <xf numFmtId="179" fontId="8" fillId="10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79" fontId="6" fillId="24" borderId="1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3" fontId="7" fillId="21" borderId="1" xfId="0" applyNumberFormat="1" applyFont="1" applyFill="1" applyBorder="1" applyAlignment="1">
      <alignment horizontal="center" vertical="center"/>
    </xf>
    <xf numFmtId="179" fontId="7" fillId="21" borderId="1" xfId="0" applyNumberFormat="1" applyFont="1" applyFill="1" applyBorder="1" applyAlignment="1">
      <alignment horizontal="center" vertical="center"/>
    </xf>
    <xf numFmtId="1" fontId="6" fillId="21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7" fillId="21" borderId="8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4" fillId="21" borderId="9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8" fillId="21" borderId="9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15" fillId="21" borderId="1" xfId="0" applyNumberFormat="1" applyFont="1" applyFill="1" applyBorder="1" applyAlignment="1">
      <alignment horizontal="center" vertical="center"/>
    </xf>
    <xf numFmtId="176" fontId="15" fillId="21" borderId="1" xfId="0" applyNumberFormat="1" applyFont="1" applyFill="1" applyBorder="1" applyAlignment="1">
      <alignment horizontal="center" vertical="center"/>
    </xf>
    <xf numFmtId="2" fontId="14" fillId="21" borderId="1" xfId="0" applyNumberFormat="1" applyFont="1" applyFill="1" applyBorder="1" applyAlignment="1">
      <alignment horizontal="center" vertical="center"/>
    </xf>
    <xf numFmtId="176" fontId="14" fillId="21" borderId="1" xfId="0" applyNumberFormat="1" applyFont="1" applyFill="1" applyBorder="1" applyAlignment="1">
      <alignment horizontal="center" vertical="center"/>
    </xf>
    <xf numFmtId="2" fontId="7" fillId="21" borderId="1" xfId="0" applyNumberFormat="1" applyFont="1" applyFill="1" applyBorder="1" applyAlignment="1">
      <alignment horizontal="center" vertical="center"/>
    </xf>
    <xf numFmtId="176" fontId="7" fillId="21" borderId="1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21" borderId="3" xfId="0" applyFont="1" applyFill="1" applyBorder="1" applyAlignment="1">
      <alignment vertical="center"/>
    </xf>
    <xf numFmtId="0" fontId="13" fillId="21" borderId="4" xfId="0" applyFont="1" applyFill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7" fillId="21" borderId="7" xfId="0" applyFont="1" applyFill="1" applyBorder="1" applyAlignment="1">
      <alignment vertical="center"/>
    </xf>
    <xf numFmtId="0" fontId="14" fillId="21" borderId="0" xfId="0" applyFont="1" applyFill="1" applyAlignment="1">
      <alignment vertical="center"/>
    </xf>
    <xf numFmtId="0" fontId="18" fillId="21" borderId="0" xfId="0" applyFont="1" applyFill="1" applyAlignment="1">
      <alignment vertical="center"/>
    </xf>
    <xf numFmtId="0" fontId="15" fillId="21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0" fontId="9" fillId="23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16" fillId="25" borderId="1" xfId="0" applyFont="1" applyFill="1" applyBorder="1" applyAlignment="1">
      <alignment horizontal="left" vertical="center"/>
    </xf>
    <xf numFmtId="0" fontId="9" fillId="21" borderId="0" xfId="0" applyFont="1" applyFill="1" applyAlignment="1">
      <alignment vertical="center"/>
    </xf>
    <xf numFmtId="0" fontId="25" fillId="7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left" vertical="center" wrapText="1"/>
    </xf>
    <xf numFmtId="0" fontId="28" fillId="22" borderId="1" xfId="0" applyFont="1" applyFill="1" applyBorder="1" applyAlignment="1">
      <alignment horizontal="center" vertical="center"/>
    </xf>
    <xf numFmtId="0" fontId="29" fillId="22" borderId="1" xfId="0" applyFont="1" applyFill="1" applyBorder="1" applyAlignment="1">
      <alignment horizontal="center" vertical="center"/>
    </xf>
    <xf numFmtId="176" fontId="30" fillId="8" borderId="1" xfId="0" applyNumberFormat="1" applyFont="1" applyFill="1" applyBorder="1" applyAlignment="1">
      <alignment horizontal="center" vertical="center"/>
    </xf>
    <xf numFmtId="3" fontId="30" fillId="8" borderId="1" xfId="0" applyNumberFormat="1" applyFont="1" applyFill="1" applyBorder="1" applyAlignment="1">
      <alignment horizontal="center" vertical="center"/>
    </xf>
    <xf numFmtId="177" fontId="30" fillId="8" borderId="1" xfId="0" applyNumberFormat="1" applyFont="1" applyFill="1" applyBorder="1" applyAlignment="1">
      <alignment horizontal="center" vertical="center"/>
    </xf>
    <xf numFmtId="178" fontId="30" fillId="8" borderId="1" xfId="0" applyNumberFormat="1" applyFont="1" applyFill="1" applyBorder="1" applyAlignment="1">
      <alignment horizontal="center" vertical="center"/>
    </xf>
    <xf numFmtId="0" fontId="31" fillId="23" borderId="0" xfId="0" applyFont="1" applyFill="1" applyAlignment="1">
      <alignment vertical="center"/>
    </xf>
    <xf numFmtId="3" fontId="30" fillId="11" borderId="1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176" fontId="30" fillId="10" borderId="1" xfId="0" applyNumberFormat="1" applyFont="1" applyFill="1" applyBorder="1" applyAlignment="1">
      <alignment horizontal="center" vertical="center"/>
    </xf>
    <xf numFmtId="2" fontId="30" fillId="10" borderId="1" xfId="0" applyNumberFormat="1" applyFont="1" applyFill="1" applyBorder="1" applyAlignment="1">
      <alignment horizontal="center" vertical="center"/>
    </xf>
    <xf numFmtId="178" fontId="30" fillId="10" borderId="1" xfId="0" applyNumberFormat="1" applyFont="1" applyFill="1" applyBorder="1" applyAlignment="1">
      <alignment horizontal="center" vertical="center"/>
    </xf>
    <xf numFmtId="179" fontId="32" fillId="12" borderId="1" xfId="0" applyNumberFormat="1" applyFont="1" applyFill="1" applyBorder="1" applyAlignment="1">
      <alignment horizontal="center" vertical="center"/>
    </xf>
    <xf numFmtId="178" fontId="32" fillId="13" borderId="1" xfId="0" applyNumberFormat="1" applyFont="1" applyFill="1" applyBorder="1" applyAlignment="1">
      <alignment horizontal="center" vertical="center"/>
    </xf>
    <xf numFmtId="179" fontId="35" fillId="13" borderId="1" xfId="0" applyNumberFormat="1" applyFont="1" applyFill="1" applyBorder="1" applyAlignment="1">
      <alignment horizontal="center" vertical="center"/>
    </xf>
    <xf numFmtId="49" fontId="36" fillId="9" borderId="1" xfId="0" applyNumberFormat="1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23" borderId="0" xfId="0" applyFont="1" applyFill="1" applyAlignment="1">
      <alignment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179" fontId="30" fillId="8" borderId="1" xfId="0" applyNumberFormat="1" applyFont="1" applyFill="1" applyBorder="1" applyAlignment="1">
      <alignment horizontal="center" vertical="center" wrapText="1"/>
    </xf>
    <xf numFmtId="179" fontId="32" fillId="10" borderId="1" xfId="0" applyNumberFormat="1" applyFont="1" applyFill="1" applyBorder="1" applyAlignment="1">
      <alignment horizontal="center" vertical="center" wrapText="1"/>
    </xf>
    <xf numFmtId="179" fontId="33" fillId="2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7" fillId="25" borderId="1" xfId="0" applyFont="1" applyFill="1" applyBorder="1" applyAlignment="1">
      <alignment horizontal="center" vertical="center" wrapText="1"/>
    </xf>
    <xf numFmtId="180" fontId="6" fillId="24" borderId="1" xfId="0" applyNumberFormat="1" applyFont="1" applyFill="1" applyBorder="1" applyAlignment="1">
      <alignment horizontal="center" vertical="center" wrapText="1"/>
    </xf>
    <xf numFmtId="2" fontId="33" fillId="24" borderId="1" xfId="0" applyNumberFormat="1" applyFont="1" applyFill="1" applyBorder="1" applyAlignment="1">
      <alignment horizontal="center" vertical="center" wrapText="1"/>
    </xf>
    <xf numFmtId="178" fontId="33" fillId="25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/>
    </xf>
    <xf numFmtId="0" fontId="4" fillId="20" borderId="0" xfId="0" applyFont="1" applyFill="1" applyAlignment="1">
      <alignment vertical="center"/>
    </xf>
    <xf numFmtId="0" fontId="24" fillId="21" borderId="0" xfId="0" applyFont="1" applyFill="1" applyAlignment="1">
      <alignment vertical="center"/>
    </xf>
    <xf numFmtId="0" fontId="16" fillId="9" borderId="1" xfId="0" applyFont="1" applyFill="1" applyBorder="1" applyAlignment="1">
      <alignment horizontal="left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26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24" fillId="27" borderId="0" xfId="0" applyFont="1" applyFill="1" applyAlignment="1">
      <alignment vertical="center"/>
    </xf>
    <xf numFmtId="0" fontId="9" fillId="28" borderId="0" xfId="0" applyFont="1" applyFill="1" applyAlignment="1">
      <alignment horizontal="center" vertical="center"/>
    </xf>
    <xf numFmtId="2" fontId="9" fillId="28" borderId="0" xfId="0" applyNumberFormat="1" applyFont="1" applyFill="1" applyAlignment="1">
      <alignment horizontal="center" vertical="center"/>
    </xf>
    <xf numFmtId="2" fontId="24" fillId="27" borderId="0" xfId="0" applyNumberFormat="1" applyFont="1" applyFill="1" applyAlignment="1">
      <alignment vertical="center"/>
    </xf>
    <xf numFmtId="178" fontId="9" fillId="28" borderId="0" xfId="0" applyNumberFormat="1" applyFont="1" applyFill="1" applyAlignment="1">
      <alignment horizontal="center" vertical="center"/>
    </xf>
    <xf numFmtId="1" fontId="9" fillId="28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vertical="center"/>
    </xf>
    <xf numFmtId="3" fontId="0" fillId="0" borderId="0" xfId="0" applyNumberFormat="1"/>
    <xf numFmtId="1" fontId="30" fillId="8" borderId="1" xfId="0" applyNumberFormat="1" applyFont="1" applyFill="1" applyBorder="1" applyAlignment="1">
      <alignment horizontal="center" vertical="center"/>
    </xf>
    <xf numFmtId="0" fontId="46" fillId="28" borderId="13" xfId="0" applyFont="1" applyFill="1" applyBorder="1" applyAlignment="1">
      <alignment horizontal="center" vertical="center" wrapText="1"/>
    </xf>
    <xf numFmtId="0" fontId="46" fillId="28" borderId="14" xfId="0" applyFont="1" applyFill="1" applyBorder="1" applyAlignment="1">
      <alignment horizontal="center" vertical="center" wrapText="1"/>
    </xf>
    <xf numFmtId="0" fontId="45" fillId="28" borderId="13" xfId="0" applyFont="1" applyFill="1" applyBorder="1" applyAlignment="1">
      <alignment horizontal="center" vertical="center" wrapText="1"/>
    </xf>
    <xf numFmtId="0" fontId="45" fillId="28" borderId="14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16" xfId="0" applyFont="1" applyBorder="1"/>
    <xf numFmtId="0" fontId="45" fillId="28" borderId="16" xfId="0" applyFont="1" applyFill="1" applyBorder="1" applyAlignment="1">
      <alignment horizontal="center" vertical="center"/>
    </xf>
    <xf numFmtId="0" fontId="46" fillId="28" borderId="16" xfId="0" applyFont="1" applyFill="1" applyBorder="1" applyAlignment="1">
      <alignment horizontal="center" vertical="center"/>
    </xf>
    <xf numFmtId="0" fontId="46" fillId="28" borderId="16" xfId="0" applyFont="1" applyFill="1" applyBorder="1" applyAlignment="1">
      <alignment horizontal="center" vertical="center"/>
    </xf>
    <xf numFmtId="0" fontId="44" fillId="30" borderId="16" xfId="0" applyFont="1" applyFill="1" applyBorder="1" applyAlignment="1">
      <alignment horizontal="center" vertical="center"/>
    </xf>
    <xf numFmtId="0" fontId="49" fillId="31" borderId="16" xfId="0" applyFont="1" applyFill="1" applyBorder="1" applyAlignment="1">
      <alignment horizontal="center" vertical="center"/>
    </xf>
    <xf numFmtId="0" fontId="46" fillId="28" borderId="16" xfId="0" applyFont="1" applyFill="1" applyBorder="1" applyAlignment="1">
      <alignment horizontal="center" vertical="center" wrapText="1"/>
    </xf>
    <xf numFmtId="0" fontId="44" fillId="30" borderId="16" xfId="0" applyFont="1" applyFill="1" applyBorder="1" applyAlignment="1">
      <alignment horizontal="center" vertical="center" wrapText="1"/>
    </xf>
    <xf numFmtId="0" fontId="47" fillId="26" borderId="16" xfId="0" applyFont="1" applyFill="1" applyBorder="1" applyAlignment="1">
      <alignment horizontal="center" vertical="center"/>
    </xf>
    <xf numFmtId="0" fontId="41" fillId="27" borderId="16" xfId="0" applyFont="1" applyFill="1" applyBorder="1" applyAlignment="1">
      <alignment horizontal="center" vertical="center"/>
    </xf>
    <xf numFmtId="0" fontId="43" fillId="29" borderId="16" xfId="0" applyFont="1" applyFill="1" applyBorder="1" applyAlignment="1">
      <alignment horizontal="center" vertical="center"/>
    </xf>
    <xf numFmtId="0" fontId="48" fillId="29" borderId="16" xfId="0" applyFont="1" applyFill="1" applyBorder="1" applyAlignment="1">
      <alignment horizontal="center" vertical="center" wrapText="1"/>
    </xf>
    <xf numFmtId="0" fontId="4" fillId="26" borderId="0" xfId="0" applyFont="1" applyFill="1" applyAlignment="1">
      <alignment vertical="center"/>
    </xf>
    <xf numFmtId="0" fontId="19" fillId="20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3" fillId="21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9" borderId="2" xfId="0" applyFont="1" applyFill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26" fillId="9" borderId="2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9" fillId="30" borderId="0" xfId="0" applyFont="1" applyFill="1" applyAlignment="1">
      <alignment vertical="center" wrapText="1"/>
    </xf>
    <xf numFmtId="0" fontId="2" fillId="20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29" borderId="0" xfId="0" applyFont="1" applyFill="1" applyAlignment="1">
      <alignment vertical="center" wrapText="1"/>
    </xf>
    <xf numFmtId="0" fontId="38" fillId="2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4" fillId="30" borderId="15" xfId="0" applyFont="1" applyFill="1" applyBorder="1" applyAlignment="1">
      <alignment horizontal="center" vertical="center" wrapText="1"/>
    </xf>
    <xf numFmtId="0" fontId="41" fillId="27" borderId="0" xfId="0" applyFont="1" applyFill="1" applyAlignment="1">
      <alignment horizontal="center" vertical="center" wrapText="1"/>
    </xf>
    <xf numFmtId="0" fontId="43" fillId="29" borderId="0" xfId="0" applyFont="1" applyFill="1" applyAlignment="1">
      <alignment horizontal="center" vertical="center" wrapText="1"/>
    </xf>
    <xf numFmtId="0" fontId="43" fillId="29" borderId="3" xfId="0" applyFont="1" applyFill="1" applyBorder="1" applyAlignment="1">
      <alignment horizontal="center" vertical="center" wrapText="1"/>
    </xf>
    <xf numFmtId="0" fontId="44" fillId="30" borderId="7" xfId="0" applyFont="1" applyFill="1" applyBorder="1" applyAlignment="1">
      <alignment horizontal="center" vertical="center"/>
    </xf>
    <xf numFmtId="0" fontId="42" fillId="31" borderId="3" xfId="0" applyFont="1" applyFill="1" applyBorder="1" applyAlignment="1">
      <alignment horizontal="center" vertical="center"/>
    </xf>
    <xf numFmtId="0" fontId="46" fillId="28" borderId="13" xfId="0" applyFont="1" applyFill="1" applyBorder="1" applyAlignment="1">
      <alignment horizontal="center" vertical="center" wrapText="1"/>
    </xf>
    <xf numFmtId="0" fontId="38" fillId="20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  <xf numFmtId="0" fontId="13" fillId="19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4" fillId="20" borderId="0" xfId="0" applyFont="1" applyFill="1" applyAlignment="1">
      <alignment horizontal="center" vertical="center"/>
    </xf>
    <xf numFmtId="0" fontId="24" fillId="0" borderId="0" xfId="0" applyFont="1" applyAlignment="1">
      <alignment vertical="center"/>
    </xf>
    <xf numFmtId="0" fontId="12" fillId="9" borderId="8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</cellXfs>
  <cellStyles count="1">
    <cellStyle name="표준" xfId="0" builtinId="0"/>
  </cellStyles>
  <dxfs count="4">
    <dxf>
      <font>
        <b val="0"/>
        <i val="0"/>
        <strike val="0"/>
        <outline val="0"/>
        <shadow val="0"/>
        <u val="none"/>
        <vertAlign val="baseline"/>
        <sz val="10"/>
        <name val="Malgun Gothic"/>
        <family val="3"/>
        <charset val="129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name val="Malgun Gothic"/>
        <family val="3"/>
        <charset val="129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name val="Malgun Gothic"/>
        <family val="3"/>
        <charset val="129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name val="Malgun Gothic"/>
        <family val="3"/>
        <charset val="129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5E8D4"/>
      <rgbColor rgb="FFFF00FF"/>
      <rgbColor rgb="FF00FFFF"/>
      <rgbColor rgb="FF800000"/>
      <rgbColor rgb="FF2E7D32"/>
      <rgbColor rgb="FF00008B"/>
      <rgbColor rgb="FF9A7D0A"/>
      <rgbColor rgb="FF455A64"/>
      <rgbColor rgb="FF1D8348"/>
      <rgbColor rgb="FFBDC3C7"/>
      <rgbColor rgb="FF808080"/>
      <rgbColor rgb="FF7F8C8D"/>
      <rgbColor rgb="FFC0392B"/>
      <rgbColor rgb="FFFFFFCC"/>
      <rgbColor rgb="FFD6EAF8"/>
      <rgbColor rgb="FF37474F"/>
      <rgbColor rgb="FFE74C3C"/>
      <rgbColor rgb="FF1A5276"/>
      <rgbColor rgb="FFCCCCCC"/>
      <rgbColor rgb="FF34495E"/>
      <rgbColor rgb="FFFF00FF"/>
      <rgbColor rgb="FFFEF9E7"/>
      <rgbColor rgb="FF00FFFF"/>
      <rgbColor rgb="FF800080"/>
      <rgbColor rgb="FF800000"/>
      <rgbColor rgb="FF27AE60"/>
      <rgbColor rgb="FF0000FF"/>
      <rgbColor rgb="FF00CCFF"/>
      <rgbColor rgb="FFE8F4FD"/>
      <rgbColor rgb="FFD5F5E3"/>
      <rgbColor rgb="FFFFF9C4"/>
      <rgbColor rgb="FFA5D6A7"/>
      <rgbColor rgb="FFFDEBD0"/>
      <rgbColor rgb="FFC8E6C9"/>
      <rgbColor rgb="FFFADBD8"/>
      <rgbColor rgb="FF3D5A80"/>
      <rgbColor rgb="FF546E7A"/>
      <rgbColor rgb="FFEEF2F7"/>
      <rgbColor rgb="FFE8F5E9"/>
      <rgbColor rgb="FFF5F5F5"/>
      <rgbColor rgb="FFE65100"/>
      <rgbColor rgb="FF5D6D7E"/>
      <rgbColor rgb="FF95A5A6"/>
      <rgbColor rgb="FF1A3A4A"/>
      <rgbColor rgb="FF388E3C"/>
      <rgbColor rgb="FF1B5E20"/>
      <rgbColor rgb="FF2C3E50"/>
      <rgbColor rgb="FF922B21"/>
      <rgbColor rgb="FF555555"/>
      <rgbColor rgb="FF2E4057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ctivity" displayName="tblActivity" ref="D11:E14" totalsRowShown="0" headerRowDxfId="3" dataDxfId="2">
  <autoFilter ref="D11:E14" xr:uid="{00000000-0009-0000-0100-000001000000}"/>
  <tableColumns count="2">
    <tableColumn id="1" xr3:uid="{00000000-0010-0000-0000-000001000000}" name="활동수준" dataDxfId="1"/>
    <tableColumn id="2" xr3:uid="{00000000-0010-0000-0000-000002000000}" name="활동계수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5D4E-3855-498A-BC35-BE8770861B63}">
  <dimension ref="B2:L22"/>
  <sheetViews>
    <sheetView tabSelected="1" workbookViewId="0">
      <selection activeCell="J19" sqref="J19"/>
    </sheetView>
  </sheetViews>
  <sheetFormatPr defaultRowHeight="21.95" customHeight="1"/>
  <cols>
    <col min="1" max="1" width="3.7109375" style="111" customWidth="1"/>
    <col min="2" max="4" width="15.7109375" style="111" customWidth="1"/>
    <col min="5" max="5" width="8.7109375" style="111" bestFit="1" customWidth="1"/>
    <col min="6" max="8" width="15.7109375" style="111" customWidth="1"/>
    <col min="9" max="9" width="4.7109375" style="111" customWidth="1"/>
    <col min="10" max="12" width="18.7109375" style="111" customWidth="1"/>
    <col min="13" max="16384" width="9.140625" style="111"/>
  </cols>
  <sheetData>
    <row r="2" spans="2:12" ht="27.95" customHeight="1">
      <c r="B2" s="120" t="str">
        <f>"린매스업 매크로 대시보드"</f>
        <v>린매스업 매크로 대시보드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</row>
    <row r="3" spans="2:12" ht="26.1" customHeight="1">
      <c r="B3" s="119" t="str">
        <f>"입력은 '매크로 계산기' 시트에서 하고, 이 시트는 결과와 가이드를 한눈에 보기 쉽게 정리한 화면입니다."</f>
        <v>입력은 '매크로 계산기' 시트에서 하고, 이 시트는 결과와 가이드를 한눈에 보기 쉽게 정리한 화면입니다.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</row>
    <row r="4" spans="2:12" ht="21.95" customHeight="1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</row>
    <row r="5" spans="2:12" ht="21.95" customHeight="1">
      <c r="B5" s="121" t="str">
        <f t="shared" ref="B5" si="0">"오늘 목표 칼로리"</f>
        <v>오늘 목표 칼로리</v>
      </c>
      <c r="C5" s="121"/>
      <c r="D5" s="121"/>
      <c r="E5" s="112"/>
      <c r="F5" s="121" t="str">
        <f t="shared" ref="F5" si="1">"일일 총 소비량"</f>
        <v>일일 총 소비량</v>
      </c>
      <c r="G5" s="121"/>
      <c r="H5" s="121"/>
      <c r="I5" s="112"/>
      <c r="J5" s="121" t="str">
        <f t="shared" ref="J5" si="2">"자동 활동 판정"</f>
        <v>자동 활동 판정</v>
      </c>
      <c r="K5" s="121"/>
      <c r="L5" s="121"/>
    </row>
    <row r="6" spans="2:12" ht="33.950000000000003" customHeight="1">
      <c r="B6" s="122" t="str">
        <f>IF('매크로 계산기'!D27="","-",ROUND('매크로 계산기'!D27,0)&amp;" kcal")</f>
        <v>2439 kcal</v>
      </c>
      <c r="C6" s="122"/>
      <c r="D6" s="122"/>
      <c r="E6" s="112"/>
      <c r="F6" s="122" t="str">
        <f>IF('매크로 계산기'!B22="","-",ROUND('매크로 계산기'!B22,0)&amp;" kcal")</f>
        <v>2289 kcal</v>
      </c>
      <c r="G6" s="122"/>
      <c r="H6" s="122"/>
      <c r="I6" s="112"/>
      <c r="J6" s="123" t="str">
        <f>IF('매크로 계산기'!K35="","-",'매크로 계산기'!K35&amp;CHAR(10)&amp;"추천 계수 "&amp;TEXT('매크로 계산기'!M35,"0.000"))</f>
        <v>활동형
추천 계수 1.193</v>
      </c>
      <c r="K6" s="123"/>
      <c r="L6" s="123"/>
    </row>
    <row r="7" spans="2:12" ht="33.950000000000003" customHeight="1">
      <c r="B7" s="122"/>
      <c r="C7" s="122"/>
      <c r="D7" s="122"/>
      <c r="E7" s="112"/>
      <c r="F7" s="122"/>
      <c r="G7" s="122"/>
      <c r="H7" s="122"/>
      <c r="I7" s="112"/>
      <c r="J7" s="123"/>
      <c r="K7" s="123"/>
      <c r="L7" s="123"/>
    </row>
    <row r="8" spans="2:12" ht="21.95" customHeight="1"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</row>
    <row r="9" spans="2:12" ht="21.95" customHeight="1">
      <c r="B9" s="117" t="str">
        <f>"매크로 요약"</f>
        <v>매크로 요약</v>
      </c>
      <c r="C9" s="117"/>
      <c r="D9" s="117"/>
      <c r="E9" s="117"/>
      <c r="F9" s="117"/>
      <c r="G9" s="117"/>
      <c r="H9" s="117"/>
      <c r="I9" s="112"/>
      <c r="J9" s="117" t="str">
        <f>"핵심 안내"</f>
        <v>핵심 안내</v>
      </c>
      <c r="K9" s="117"/>
      <c r="L9" s="117"/>
    </row>
    <row r="10" spans="2:12" ht="24" customHeight="1">
      <c r="B10" s="113" t="str">
        <f>"탄수화물"</f>
        <v>탄수화물</v>
      </c>
      <c r="C10" s="114" t="str">
        <f>ROUND('매크로 계산기'!D28,0)&amp;" g"</f>
        <v>333 g</v>
      </c>
      <c r="D10" s="114" t="str">
        <f>ROUND('매크로 계산기'!D28*4,0)&amp;" kcal"</f>
        <v>1332 kcal</v>
      </c>
      <c r="E10" s="114" t="str">
        <f>IFERROR(ROUND(('매크로 계산기'!D28*4)/'매크로 계산기'!D27*100,0)&amp;"%","-")</f>
        <v>55%</v>
      </c>
      <c r="F10" s="114"/>
      <c r="G10" s="114"/>
      <c r="H10" s="114"/>
      <c r="I10" s="112"/>
      <c r="J10" s="119" t="str">
        <f>IF('매크로 계산기'!M43="","2주 자동 보정을 쓰려면 이전 7일 평균체중과 최근 7일 평균체중을 입력하세요.","현재 자동 보정 제안: "&amp;IF('매크로 계산기'!M43&gt;0,"+","")&amp;'매크로 계산기'!M43&amp;" kcal/day")</f>
        <v>현재 자동 보정 제안: -100 kcal/day</v>
      </c>
      <c r="K10" s="119"/>
      <c r="L10" s="119"/>
    </row>
    <row r="11" spans="2:12" ht="24" customHeight="1">
      <c r="B11" s="113" t="str">
        <f>"단백질"</f>
        <v>단백질</v>
      </c>
      <c r="C11" s="114" t="str">
        <f>ROUND('매크로 계산기'!D29,0)&amp;" g"</f>
        <v>143 g</v>
      </c>
      <c r="D11" s="114" t="str">
        <f>ROUND('매크로 계산기'!D29*4,0)&amp;" kcal"</f>
        <v>570 kcal</v>
      </c>
      <c r="E11" s="114" t="str">
        <f>IFERROR(ROUND(('매크로 계산기'!D29*4)/'매크로 계산기'!D27*100,0)&amp;"%","-")</f>
        <v>23%</v>
      </c>
      <c r="F11" s="114"/>
      <c r="G11" s="114"/>
      <c r="H11" s="114"/>
      <c r="I11" s="112"/>
      <c r="J11" s="119" t="str">
        <f>IF('매크로 계산기'!K35="","활동 가이드 입력값을 채우면 추천 활동수준이 표시됩니다.","자동 활동 판정은 웨이트 빈도, 작업세트, 유산소 빈도, 걸음 수를 바탕으로 계산됩니다.")</f>
        <v>자동 활동 판정은 웨이트 빈도, 작업세트, 유산소 빈도, 걸음 수를 바탕으로 계산됩니다.</v>
      </c>
      <c r="K11" s="119"/>
      <c r="L11" s="119"/>
    </row>
    <row r="12" spans="2:12" ht="24" customHeight="1">
      <c r="B12" s="113" t="str">
        <f>"지방"</f>
        <v>지방</v>
      </c>
      <c r="C12" s="114" t="str">
        <f>ROUND('매크로 계산기'!D30,0)&amp;" g"</f>
        <v>60 g</v>
      </c>
      <c r="D12" s="114" t="str">
        <f>ROUND('매크로 계산기'!D30*9,0)&amp;" kcal"</f>
        <v>537 kcal</v>
      </c>
      <c r="E12" s="114" t="str">
        <f>IFERROR(ROUND(('매크로 계산기'!D30*9)/'매크로 계산기'!D27*100,0)&amp;"%","-")</f>
        <v>22%</v>
      </c>
      <c r="F12" s="114"/>
      <c r="G12" s="114"/>
      <c r="H12" s="114"/>
      <c r="I12" s="112"/>
      <c r="J12" s="119"/>
      <c r="K12" s="119"/>
      <c r="L12" s="119"/>
    </row>
    <row r="13" spans="2:12" ht="24" customHeight="1">
      <c r="B13" s="113" t="str">
        <f>"요약 문장"</f>
        <v>요약 문장</v>
      </c>
      <c r="C13" s="118" t="str">
        <f>"탄 "&amp;ROUND('매크로 계산기'!D28,0)&amp;"g / 단 "&amp;ROUND('매크로 계산기'!D29,0)&amp;"g / 지 "&amp;ROUND('매크로 계산기'!D30,0)&amp;"g"</f>
        <v>탄 333g / 단 143g / 지 60g</v>
      </c>
      <c r="D13" s="118"/>
      <c r="E13" s="118"/>
      <c r="F13" s="118"/>
      <c r="G13" s="118"/>
      <c r="H13" s="118"/>
      <c r="I13" s="112"/>
      <c r="J13" s="119" t="str">
        <f>"입력 위치: 매크로 계산기 시트"</f>
        <v>입력 위치: 매크로 계산기 시트</v>
      </c>
      <c r="K13" s="119"/>
      <c r="L13" s="119"/>
    </row>
    <row r="14" spans="2:12" ht="24" customHeight="1">
      <c r="B14" s="112"/>
      <c r="C14" s="112"/>
      <c r="D14" s="112"/>
      <c r="E14" s="112"/>
      <c r="F14" s="112"/>
      <c r="G14" s="112"/>
      <c r="H14" s="112"/>
      <c r="I14" s="112"/>
      <c r="J14" s="119"/>
      <c r="K14" s="119"/>
      <c r="L14" s="119"/>
    </row>
    <row r="15" spans="2:12" ht="21.95" customHeight="1"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</row>
    <row r="16" spans="2:12" ht="21.95" customHeight="1">
      <c r="B16" s="117" t="str">
        <f>"칼로리 구성"</f>
        <v>칼로리 구성</v>
      </c>
      <c r="C16" s="117"/>
      <c r="D16" s="117"/>
      <c r="E16" s="117"/>
      <c r="F16" s="117"/>
      <c r="G16" s="117"/>
      <c r="H16" s="117"/>
      <c r="I16" s="112"/>
      <c r="J16" s="117" t="str">
        <f>"현재 입력 요약"</f>
        <v>현재 입력 요약</v>
      </c>
      <c r="K16" s="117"/>
      <c r="L16" s="117"/>
    </row>
    <row r="17" spans="2:12" ht="21.95" customHeight="1">
      <c r="B17" s="113" t="str">
        <f>"기본 소비량"</f>
        <v>기본 소비량</v>
      </c>
      <c r="C17" s="114" t="str">
        <f>ROUND('매크로 계산기'!B20,0)&amp;" kcal"</f>
        <v>2053 kcal</v>
      </c>
      <c r="D17" s="113" t="str">
        <f>"운동 소모량"</f>
        <v>운동 소모량</v>
      </c>
      <c r="E17" s="114" t="str">
        <f>ROUND('매크로 계산기'!B21,0)&amp;" kcal"</f>
        <v>236 kcal</v>
      </c>
      <c r="F17" s="113" t="str">
        <f>"목적별 가감"</f>
        <v>목적별 가감</v>
      </c>
      <c r="G17" s="114" t="str">
        <f>IFERROR(IF(VLOOKUP('매크로 계산기'!B13,기준데이터!$D$27:$E$29,2,FALSE())&gt;0,"+"&amp;ROUND(VLOOKUP('매크로 계산기'!B13,기준데이터!$D$27:$E$29,2,FALSE()),0),ROUND(VLOOKUP('매크로 계산기'!B13,기준데이터!$D$27:$E$29,2,FALSE()),0))&amp;" kcal","-")</f>
        <v>+150 kcal</v>
      </c>
      <c r="H17" s="114"/>
      <c r="I17" s="112"/>
      <c r="J17" s="113" t="str">
        <f>"체중 / 체지방"</f>
        <v>체중 / 체지방</v>
      </c>
      <c r="K17" s="115" t="str">
        <f>'매크로 계산기'!B6&amp;" kg / "&amp;'매크로 계산기'!B7&amp;"%"</f>
        <v>75 kg / 35%</v>
      </c>
      <c r="L17" s="115"/>
    </row>
    <row r="18" spans="2:12" ht="21.95" customHeight="1">
      <c r="B18" s="114" t="str">
        <f>"공식 요약"</f>
        <v>공식 요약</v>
      </c>
      <c r="C18" s="118" t="str">
        <f>"일일 총 소비량 = 기본 소비량 + 운동 소모량 / 최종 목표 = 일일 총 소비량 + 목적별 가감"</f>
        <v>일일 총 소비량 = 기본 소비량 + 운동 소모량 / 최종 목표 = 일일 총 소비량 + 목적별 가감</v>
      </c>
      <c r="D18" s="118"/>
      <c r="E18" s="118"/>
      <c r="F18" s="118"/>
      <c r="G18" s="118"/>
      <c r="H18" s="118"/>
      <c r="I18" s="112"/>
      <c r="J18" s="113" t="str">
        <f>"활동수준 / 목표"</f>
        <v>활동수준 / 목표</v>
      </c>
      <c r="K18" s="115" t="str">
        <f>'매크로 계산기'!B11&amp;" / "&amp;'매크로 계산기'!B13</f>
        <v>운동인 / 린매스업</v>
      </c>
      <c r="L18" s="115"/>
    </row>
    <row r="19" spans="2:12" ht="21.95" customHeight="1">
      <c r="B19" s="112"/>
      <c r="C19" s="112"/>
      <c r="D19" s="112"/>
      <c r="E19" s="112"/>
      <c r="F19" s="112"/>
      <c r="G19" s="112"/>
      <c r="H19" s="112"/>
      <c r="I19" s="112"/>
      <c r="J19" s="113" t="str">
        <f>"루틴 / 웨이트 시간"</f>
        <v>루틴 / 웨이트 시간</v>
      </c>
      <c r="K19" s="115" t="str">
        <f>'매크로 계산기'!B12&amp;" / "&amp;'매크로 계산기'!I10&amp;"분"</f>
        <v>REST / 60분</v>
      </c>
      <c r="L19" s="115"/>
    </row>
    <row r="20" spans="2:12" ht="21.95" customHeight="1">
      <c r="B20" s="112"/>
      <c r="C20" s="112"/>
      <c r="D20" s="112"/>
      <c r="E20" s="112"/>
      <c r="F20" s="112"/>
      <c r="G20" s="112"/>
      <c r="H20" s="112"/>
      <c r="I20" s="112"/>
      <c r="J20" s="113" t="str">
        <f>"유산소 시간"</f>
        <v>유산소 시간</v>
      </c>
      <c r="K20" s="115" t="str">
        <f>IF('매크로 계산기'!B8="","-",'매크로 계산기'!B8&amp;"분")</f>
        <v>15분</v>
      </c>
      <c r="L20" s="115"/>
    </row>
    <row r="21" spans="2:12" ht="21.95" customHeight="1"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</row>
    <row r="22" spans="2:12" ht="26.1" customHeight="1">
      <c r="B22" s="116" t="str">
        <f>"입력은 '매크로 계산기'에서, 해석은 '대시보드'에서 보는 구조로 분리했습니다."</f>
        <v>입력은 '매크로 계산기'에서, 해석은 '대시보드'에서 보는 구조로 분리했습니다.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</row>
  </sheetData>
  <mergeCells count="22">
    <mergeCell ref="B2:L2"/>
    <mergeCell ref="B3:L3"/>
    <mergeCell ref="B5:D5"/>
    <mergeCell ref="B6:D7"/>
    <mergeCell ref="F5:H5"/>
    <mergeCell ref="F6:H7"/>
    <mergeCell ref="J5:L5"/>
    <mergeCell ref="J6:L7"/>
    <mergeCell ref="B9:H9"/>
    <mergeCell ref="J9:L9"/>
    <mergeCell ref="C13:H13"/>
    <mergeCell ref="J10:L10"/>
    <mergeCell ref="J11:L12"/>
    <mergeCell ref="J13:L14"/>
    <mergeCell ref="K20:L20"/>
    <mergeCell ref="B22:L22"/>
    <mergeCell ref="B16:H16"/>
    <mergeCell ref="C18:H18"/>
    <mergeCell ref="J16:L16"/>
    <mergeCell ref="K17:L17"/>
    <mergeCell ref="K18:L18"/>
    <mergeCell ref="K19:L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showGridLines="0" zoomScale="95" zoomScaleNormal="95" workbookViewId="0">
      <pane ySplit="4" topLeftCell="A13" activePane="bottomLeft" state="frozen"/>
      <selection pane="bottomLeft" activeCell="B16" sqref="B16"/>
    </sheetView>
  </sheetViews>
  <sheetFormatPr defaultColWidth="8.7109375" defaultRowHeight="15"/>
  <cols>
    <col min="1" max="1" width="29.42578125" bestFit="1" customWidth="1"/>
    <col min="2" max="2" width="12.42578125" bestFit="1" customWidth="1"/>
    <col min="3" max="3" width="20" bestFit="1" customWidth="1"/>
    <col min="4" max="4" width="14.5703125" customWidth="1"/>
    <col min="5" max="5" width="20" bestFit="1" customWidth="1"/>
    <col min="6" max="6" width="50.5703125" bestFit="1" customWidth="1"/>
    <col min="7" max="7" width="3.7109375" customWidth="1"/>
    <col min="8" max="8" width="25.140625" bestFit="1" customWidth="1"/>
    <col min="9" max="9" width="15" bestFit="1" customWidth="1"/>
    <col min="10" max="10" width="12.7109375" bestFit="1" customWidth="1"/>
    <col min="11" max="11" width="15" bestFit="1" customWidth="1"/>
    <col min="12" max="12" width="15.42578125" bestFit="1" customWidth="1"/>
    <col min="13" max="13" width="11.5703125" bestFit="1" customWidth="1"/>
    <col min="14" max="16" width="12.7109375" hidden="1" customWidth="1"/>
    <col min="17" max="18" width="0" hidden="1" customWidth="1"/>
  </cols>
  <sheetData>
    <row r="1" spans="1:16" ht="33.950000000000003" customHeight="1">
      <c r="A1" s="125" t="s">
        <v>0</v>
      </c>
      <c r="B1" s="126"/>
      <c r="C1" s="126"/>
      <c r="D1" s="126"/>
      <c r="E1" s="126"/>
      <c r="F1" s="126"/>
      <c r="G1" s="42"/>
      <c r="H1" s="125" t="s">
        <v>144</v>
      </c>
      <c r="I1" s="126"/>
      <c r="J1" s="126"/>
      <c r="K1" s="126"/>
      <c r="L1" s="126"/>
      <c r="M1" s="126"/>
      <c r="N1" s="42"/>
      <c r="O1" s="42"/>
      <c r="P1" s="42"/>
    </row>
    <row r="2" spans="1:16" ht="30" customHeight="1">
      <c r="A2" s="135" t="s">
        <v>1</v>
      </c>
      <c r="B2" s="134"/>
      <c r="C2" s="134"/>
      <c r="D2" s="134"/>
      <c r="E2" s="134"/>
      <c r="F2" s="134"/>
      <c r="G2" s="42"/>
      <c r="H2" s="133" t="s">
        <v>2</v>
      </c>
      <c r="I2" s="134"/>
      <c r="J2" s="134"/>
      <c r="K2" s="134"/>
      <c r="L2" s="134"/>
      <c r="M2" s="134"/>
      <c r="N2" s="42"/>
      <c r="O2" s="42"/>
      <c r="P2" s="42"/>
    </row>
    <row r="3" spans="1:16" ht="6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27.95" customHeight="1">
      <c r="A4" s="127" t="s">
        <v>3</v>
      </c>
      <c r="B4" s="128"/>
      <c r="C4" s="144" t="s">
        <v>4</v>
      </c>
      <c r="D4" s="128"/>
      <c r="E4" s="128"/>
      <c r="F4" s="128"/>
      <c r="G4" s="42"/>
      <c r="H4" s="127" t="s">
        <v>5</v>
      </c>
      <c r="I4" s="128"/>
      <c r="J4" s="128"/>
      <c r="K4" s="128"/>
      <c r="L4" s="128"/>
      <c r="M4" s="128"/>
      <c r="N4" s="42"/>
      <c r="O4" s="42"/>
      <c r="P4" s="42"/>
    </row>
    <row r="5" spans="1:16" ht="21.75" customHeight="1">
      <c r="A5" s="66" t="s">
        <v>6</v>
      </c>
      <c r="B5" s="50">
        <v>173</v>
      </c>
      <c r="C5" s="67" t="s">
        <v>7</v>
      </c>
      <c r="D5" s="52">
        <f>IFERROR(B6-(B6*B8/100),"")</f>
        <v>63.75</v>
      </c>
      <c r="E5" s="3" t="s">
        <v>8</v>
      </c>
      <c r="F5" s="86"/>
      <c r="G5" s="42"/>
      <c r="H5" s="69" t="s">
        <v>9</v>
      </c>
      <c r="I5" s="50" t="s">
        <v>10</v>
      </c>
      <c r="J5" s="131" t="s">
        <v>11</v>
      </c>
      <c r="K5" s="132"/>
      <c r="L5" s="132"/>
      <c r="M5" s="132"/>
      <c r="N5" s="42"/>
      <c r="O5" s="42"/>
      <c r="P5" s="42"/>
    </row>
    <row r="6" spans="1:16" ht="21.75" customHeight="1">
      <c r="A6" s="66" t="s">
        <v>12</v>
      </c>
      <c r="B6" s="50">
        <v>75</v>
      </c>
      <c r="C6" s="67" t="s">
        <v>13</v>
      </c>
      <c r="D6" s="53">
        <f>IF(B11="일반인",
   IF(B10="남성",
      (10*B6+6.25*B5-5*B9+5)*
      IF(B8&lt;=8,
         1.028+(8-B8)/400,
         IF(B8&lt;=35,
            1+(15-B8)/250,
            0.92-(B8-35)/180
         )
      ),
      (10*B6+6.25*B5-5*B9-161)*
      IF(B8&lt;=18,
         1.028+(18-B8)/400,
         IF(B8&lt;=35,
            1+(25-B8)/250,
            0.96-(B8-35)/180
         )
      )
   ),
   370+(21.6*D5)
)</f>
        <v>1747</v>
      </c>
      <c r="E6" s="3" t="s">
        <v>14</v>
      </c>
      <c r="F6" s="97" t="s">
        <v>15</v>
      </c>
      <c r="G6" s="42"/>
      <c r="H6" s="69" t="s">
        <v>16</v>
      </c>
      <c r="I6" s="50">
        <v>5</v>
      </c>
      <c r="J6" s="131" t="s">
        <v>17</v>
      </c>
      <c r="K6" s="132"/>
      <c r="L6" s="132"/>
      <c r="M6" s="132"/>
      <c r="N6" s="42"/>
      <c r="O6" s="42"/>
      <c r="P6" s="42"/>
    </row>
    <row r="7" spans="1:16" ht="21.75" customHeight="1">
      <c r="A7" s="66" t="s">
        <v>18</v>
      </c>
      <c r="B7" s="50">
        <v>35</v>
      </c>
      <c r="C7" s="67" t="s">
        <v>19</v>
      </c>
      <c r="D7" s="54">
        <f>IFERROR(B7/B6,"")</f>
        <v>0.46666666666666667</v>
      </c>
      <c r="E7" s="3" t="s">
        <v>20</v>
      </c>
      <c r="F7" s="86"/>
      <c r="G7" s="42"/>
      <c r="H7" s="69" t="s">
        <v>21</v>
      </c>
      <c r="I7" s="50">
        <v>8</v>
      </c>
      <c r="J7" s="131" t="s">
        <v>22</v>
      </c>
      <c r="K7" s="132"/>
      <c r="L7" s="132"/>
      <c r="M7" s="132"/>
      <c r="N7" s="42"/>
      <c r="O7" s="42"/>
      <c r="P7" s="42"/>
    </row>
    <row r="8" spans="1:16" ht="21.75" customHeight="1">
      <c r="A8" s="66" t="s">
        <v>23</v>
      </c>
      <c r="B8" s="50">
        <v>15</v>
      </c>
      <c r="C8" s="67" t="s">
        <v>24</v>
      </c>
      <c r="D8" s="52">
        <f>IFERROR(B6*B8/100,"")</f>
        <v>11.25</v>
      </c>
      <c r="E8" s="3" t="s">
        <v>8</v>
      </c>
      <c r="F8" s="86"/>
      <c r="G8" s="42"/>
      <c r="H8" s="69" t="s">
        <v>25</v>
      </c>
      <c r="I8" s="50">
        <v>0</v>
      </c>
      <c r="J8" s="131" t="s">
        <v>26</v>
      </c>
      <c r="K8" s="132"/>
      <c r="L8" s="132"/>
      <c r="M8" s="132"/>
      <c r="N8" s="42"/>
      <c r="O8" s="42"/>
      <c r="P8" s="42"/>
    </row>
    <row r="9" spans="1:16" ht="21.75" customHeight="1">
      <c r="A9" s="66" t="s">
        <v>145</v>
      </c>
      <c r="B9" s="50">
        <v>32</v>
      </c>
      <c r="C9" s="67" t="s">
        <v>143</v>
      </c>
      <c r="D9" s="55">
        <f>IFERROR(MAX(0,MIN(1,VLOOKUP(B14,기준데이터!$H$32:$I$36,2,FALSE())+B15)),"")</f>
        <v>0</v>
      </c>
      <c r="E9" s="3" t="s">
        <v>27</v>
      </c>
      <c r="F9" s="86"/>
      <c r="G9" s="42"/>
      <c r="H9" s="70" t="s">
        <v>12</v>
      </c>
      <c r="I9" s="52">
        <f>'매크로 계산기'!B6</f>
        <v>75</v>
      </c>
      <c r="J9" s="131" t="s">
        <v>28</v>
      </c>
      <c r="K9" s="132"/>
      <c r="L9" s="132"/>
      <c r="M9" s="132"/>
      <c r="N9" s="42"/>
      <c r="O9" s="42"/>
      <c r="P9" s="42"/>
    </row>
    <row r="10" spans="1:16" ht="21.75" customHeight="1">
      <c r="A10" s="66" t="s">
        <v>29</v>
      </c>
      <c r="B10" s="50" t="s">
        <v>30</v>
      </c>
      <c r="C10" s="67" t="s">
        <v>31</v>
      </c>
      <c r="D10" s="55">
        <f>I23</f>
        <v>0.40079365079365087</v>
      </c>
      <c r="E10" s="3" t="s">
        <v>32</v>
      </c>
      <c r="F10" s="86"/>
      <c r="G10" s="42"/>
      <c r="H10" s="69" t="str">
        <f>"웨이트 시간 (분)"</f>
        <v>웨이트 시간 (분)</v>
      </c>
      <c r="I10" s="50">
        <v>60</v>
      </c>
      <c r="J10" s="91" t="str">
        <f>"실운동 시간 입력"</f>
        <v>실운동 시간 입력</v>
      </c>
      <c r="K10" s="42"/>
      <c r="L10" s="42"/>
      <c r="M10" s="42"/>
      <c r="N10" s="42"/>
      <c r="O10" s="42"/>
      <c r="P10" s="42"/>
    </row>
    <row r="11" spans="1:16" ht="21.75" customHeight="1">
      <c r="A11" s="66" t="s">
        <v>33</v>
      </c>
      <c r="B11" s="50" t="s">
        <v>34</v>
      </c>
      <c r="C11" s="67" t="s">
        <v>35</v>
      </c>
      <c r="D11" s="55">
        <f>IFERROR(VLOOKUP(B11,기준데이터!$D$12:$E$14,2,FALSE())+(D9*0.05),"")</f>
        <v>1.175</v>
      </c>
      <c r="E11" s="3" t="str">
        <f>"생활활동 + 업무강도 소폭보정"</f>
        <v>생활활동 + 업무강도 소폭보정</v>
      </c>
      <c r="F11" s="86"/>
      <c r="G11" s="42"/>
      <c r="H11" s="71"/>
      <c r="I11" s="58"/>
      <c r="J11" s="42"/>
      <c r="K11" s="42"/>
      <c r="L11" s="42"/>
      <c r="M11" s="42"/>
      <c r="N11" s="42"/>
      <c r="O11" s="42"/>
      <c r="P11" s="42"/>
    </row>
    <row r="12" spans="1:16" ht="21.75" customHeight="1">
      <c r="A12" s="66" t="s">
        <v>36</v>
      </c>
      <c r="B12" s="50" t="s">
        <v>146</v>
      </c>
      <c r="C12" s="67" t="s">
        <v>37</v>
      </c>
      <c r="D12" s="52">
        <f>N44</f>
        <v>0</v>
      </c>
      <c r="E12" s="3" t="s">
        <v>38</v>
      </c>
      <c r="F12" s="86"/>
      <c r="G12" s="42"/>
      <c r="H12" s="71"/>
      <c r="I12" s="58"/>
      <c r="J12" s="42"/>
      <c r="K12" s="42"/>
      <c r="L12" s="42"/>
      <c r="M12" s="42"/>
      <c r="N12" s="42"/>
      <c r="O12" s="42"/>
      <c r="P12" s="42"/>
    </row>
    <row r="13" spans="1:16" ht="24" customHeight="1">
      <c r="A13" s="66" t="s">
        <v>39</v>
      </c>
      <c r="B13" s="51" t="s">
        <v>40</v>
      </c>
      <c r="C13" s="67" t="s">
        <v>41</v>
      </c>
      <c r="D13" s="55">
        <f>MIN(1,D12+D10*0.3)</f>
        <v>0.12023809523809526</v>
      </c>
      <c r="E13" s="3"/>
      <c r="F13" s="86"/>
      <c r="G13" s="42"/>
      <c r="H13" s="71"/>
      <c r="I13" s="58"/>
      <c r="J13" s="42"/>
      <c r="K13" s="42"/>
      <c r="L13" s="42"/>
      <c r="M13" s="42"/>
      <c r="N13" s="42"/>
      <c r="O13" s="42"/>
      <c r="P13" s="42"/>
    </row>
    <row r="14" spans="1:16" ht="21.75" customHeight="1">
      <c r="A14" s="66" t="s">
        <v>42</v>
      </c>
      <c r="B14" s="50" t="s">
        <v>139</v>
      </c>
      <c r="C14" s="67" t="str">
        <f>"칼로리 가감"</f>
        <v>칼로리 가감</v>
      </c>
      <c r="D14" s="106">
        <f>IFERROR(VLOOKUP(B13,기준데이터!$D$27:$G$29,2,FALSE()),1)</f>
        <v>150</v>
      </c>
      <c r="E14" s="3" t="str">
        <f>"kcal"</f>
        <v>kcal</v>
      </c>
      <c r="F14" s="86"/>
      <c r="G14" s="42"/>
      <c r="H14" s="71"/>
      <c r="I14" s="58"/>
      <c r="J14" s="42"/>
      <c r="K14" s="42"/>
      <c r="L14" s="42"/>
      <c r="M14" s="42"/>
      <c r="N14" s="42"/>
      <c r="O14" s="42"/>
      <c r="P14" s="42"/>
    </row>
    <row r="15" spans="1:16" ht="21.75" customHeight="1">
      <c r="A15" s="66" t="s">
        <v>44</v>
      </c>
      <c r="B15" s="50">
        <v>0</v>
      </c>
      <c r="C15" s="68" t="s">
        <v>45</v>
      </c>
      <c r="D15" s="56" t="s">
        <v>46</v>
      </c>
      <c r="E15" s="44"/>
      <c r="F15" s="96"/>
      <c r="G15" s="42"/>
      <c r="H15" s="71"/>
      <c r="I15" s="58"/>
      <c r="J15" s="42"/>
      <c r="K15" s="42"/>
      <c r="L15" s="42"/>
      <c r="M15" s="42"/>
      <c r="N15" s="42"/>
      <c r="O15" s="42"/>
      <c r="P15" s="42"/>
    </row>
    <row r="16" spans="1:16" ht="21.75" customHeight="1">
      <c r="A16" s="92"/>
      <c r="B16" s="93"/>
      <c r="C16" s="94"/>
      <c r="D16" s="95"/>
      <c r="E16" s="42"/>
      <c r="F16" s="96"/>
      <c r="G16" s="42"/>
      <c r="H16" s="71"/>
      <c r="I16" s="58"/>
      <c r="J16" s="42"/>
      <c r="K16" s="42"/>
      <c r="L16" s="42"/>
      <c r="M16" s="42"/>
      <c r="N16" s="42"/>
      <c r="O16" s="42"/>
      <c r="P16" s="42"/>
    </row>
    <row r="17" spans="1:18" ht="27.95" customHeight="1">
      <c r="A17" s="139" t="s">
        <v>47</v>
      </c>
      <c r="B17" s="128"/>
      <c r="C17" s="128"/>
      <c r="D17" s="128"/>
      <c r="E17" s="128"/>
      <c r="F17" s="128"/>
      <c r="G17" s="42"/>
      <c r="H17" s="136" t="s">
        <v>48</v>
      </c>
      <c r="I17" s="137"/>
      <c r="J17" s="128"/>
      <c r="K17" s="128"/>
      <c r="L17" s="128"/>
      <c r="M17" s="128"/>
      <c r="N17" s="42"/>
      <c r="O17" s="42"/>
      <c r="P17" s="42"/>
    </row>
    <row r="18" spans="1:18" ht="21.75" customHeight="1">
      <c r="A18" s="67" t="s">
        <v>49</v>
      </c>
      <c r="B18" s="53">
        <f>IFERROR(D6,"")</f>
        <v>1747</v>
      </c>
      <c r="C18" s="3" t="s">
        <v>14</v>
      </c>
      <c r="D18" s="42"/>
      <c r="E18" s="42"/>
      <c r="F18" s="42"/>
      <c r="G18" s="4"/>
      <c r="H18" s="67" t="s">
        <v>50</v>
      </c>
      <c r="I18" s="59">
        <f>(I6*1000/60)</f>
        <v>83.333333333333329</v>
      </c>
      <c r="J18" s="129" t="s">
        <v>51</v>
      </c>
      <c r="K18" s="130"/>
      <c r="L18" s="130"/>
      <c r="M18" s="130"/>
      <c r="N18" s="42"/>
      <c r="O18" s="42"/>
      <c r="P18" s="42"/>
    </row>
    <row r="19" spans="1:18" ht="21.75" customHeight="1">
      <c r="A19" s="67" t="str">
        <f>"생활계수 (NEAT)"</f>
        <v>생활계수 (NEAT)</v>
      </c>
      <c r="B19" s="55">
        <f>IFERROR(D11,"")</f>
        <v>1.175</v>
      </c>
      <c r="C19" s="3" t="s">
        <v>52</v>
      </c>
      <c r="D19" s="42"/>
      <c r="E19" s="42"/>
      <c r="F19" s="42"/>
      <c r="G19" s="42"/>
      <c r="H19" s="67" t="s">
        <v>53</v>
      </c>
      <c r="I19" s="60">
        <f>IFERROR(IF(I5="트레드밀 워킹",(I6*1000/60)*0.1+(I6*1000/60)*(I7/100)*1.8+3.5,IF(I5="실외 러닝",(I6*1000/60)*0.2+3.5,(I6*1000/60)*0.2+(I6*1000/60)*(I7/100)*0.9+3.5)),"입력확인")</f>
        <v>23.833333333333336</v>
      </c>
      <c r="J19" s="129" t="s">
        <v>54</v>
      </c>
      <c r="K19" s="130"/>
      <c r="L19" s="130"/>
      <c r="M19" s="130"/>
      <c r="N19" s="42"/>
      <c r="O19" s="42"/>
      <c r="P19" s="42"/>
    </row>
    <row r="20" spans="1:18" ht="21.75" customHeight="1">
      <c r="A20" s="67" t="str">
        <f>"기본 소비량 (BMR×생활계수)"</f>
        <v>기본 소비량 (BMR×생활계수)</v>
      </c>
      <c r="B20" s="53">
        <f>IFERROR(D6*D11,"")</f>
        <v>2052.7249999999999</v>
      </c>
      <c r="C20" s="3" t="s">
        <v>14</v>
      </c>
      <c r="D20" s="42"/>
      <c r="E20" s="42"/>
      <c r="F20" s="42"/>
      <c r="G20" s="42"/>
      <c r="H20" s="67" t="s">
        <v>55</v>
      </c>
      <c r="I20" s="61">
        <f>IFERROR(I19/3.5,"")</f>
        <v>6.8095238095238102</v>
      </c>
      <c r="J20" s="129" t="s">
        <v>56</v>
      </c>
      <c r="K20" s="130"/>
      <c r="L20" s="130"/>
      <c r="M20" s="130"/>
      <c r="N20" s="42"/>
      <c r="O20" s="42"/>
      <c r="P20" s="42"/>
    </row>
    <row r="21" spans="1:18" ht="21.75" customHeight="1">
      <c r="A21" s="67" t="str">
        <f>"운동 소모량 (웨이트+유산소+EPOC)"</f>
        <v>운동 소모량 (웨이트+유산소+EPOC)</v>
      </c>
      <c r="B21" s="53">
        <f>IFERROR(O24+I22+I24,0)</f>
        <v>236.25</v>
      </c>
      <c r="C21" s="3" t="s">
        <v>14</v>
      </c>
      <c r="D21" s="42"/>
      <c r="E21" s="42"/>
      <c r="F21" s="42"/>
      <c r="G21" s="42"/>
      <c r="H21" s="67" t="s">
        <v>57</v>
      </c>
      <c r="I21" s="60">
        <f>IFERROR((I19*I9)/1000*5,"")</f>
        <v>8.9375000000000018</v>
      </c>
      <c r="J21" s="129"/>
      <c r="K21" s="130"/>
      <c r="L21" s="130"/>
      <c r="M21" s="130"/>
      <c r="N21" s="42"/>
      <c r="O21" s="42"/>
      <c r="P21" s="42"/>
    </row>
    <row r="22" spans="1:18" ht="24" customHeight="1">
      <c r="A22" s="67" t="str">
        <f>"일일 총 소비량 (기본+운동)"</f>
        <v>일일 총 소비량 (기본+운동)</v>
      </c>
      <c r="B22" s="57">
        <f>IFERROR(D6*D11+B21,"")</f>
        <v>2288.9749999999999</v>
      </c>
      <c r="C22" s="3" t="s">
        <v>14</v>
      </c>
      <c r="D22" s="42"/>
      <c r="E22" s="42"/>
      <c r="F22" s="42"/>
      <c r="G22" s="42"/>
      <c r="H22" s="67" t="s">
        <v>58</v>
      </c>
      <c r="I22" s="62">
        <f>IFERROR(I21*I8,"")</f>
        <v>0</v>
      </c>
      <c r="J22" s="129"/>
      <c r="K22" s="130"/>
      <c r="L22" s="130"/>
      <c r="M22" s="130"/>
      <c r="N22" s="42"/>
      <c r="O22" s="42"/>
      <c r="P22" s="42"/>
    </row>
    <row r="23" spans="1:18" ht="21.75" customHeight="1">
      <c r="A23" s="45"/>
      <c r="B23" s="7"/>
      <c r="C23" s="5"/>
      <c r="D23" s="42"/>
      <c r="E23" s="42"/>
      <c r="F23" s="42"/>
      <c r="G23" s="42"/>
      <c r="H23" s="67" t="s">
        <v>59</v>
      </c>
      <c r="I23" s="63">
        <f>IFERROR(MIN(1,MAX(0,(I20-2)/12)),"")</f>
        <v>0.40079365079365087</v>
      </c>
      <c r="J23" s="129"/>
      <c r="K23" s="130"/>
      <c r="L23" s="130"/>
      <c r="M23" s="130"/>
      <c r="N23" s="42"/>
      <c r="O23" s="42"/>
      <c r="P23" s="42"/>
    </row>
    <row r="24" spans="1:18" ht="21.75" customHeight="1">
      <c r="A24" s="42"/>
      <c r="B24" s="42"/>
      <c r="C24" s="42"/>
      <c r="D24" s="42"/>
      <c r="E24" s="42"/>
      <c r="F24" s="42"/>
      <c r="G24" s="42"/>
      <c r="H24" s="67" t="s">
        <v>60</v>
      </c>
      <c r="I24" s="64">
        <f>IFERROR(MAX(0,(I20-6)/9*I22*VLOOKUP(B13,기준데이터!$D$27:$G$29,4,FALSE())),0)</f>
        <v>0</v>
      </c>
      <c r="J24" s="48" t="s">
        <v>14</v>
      </c>
      <c r="K24" s="42"/>
      <c r="L24" s="42"/>
      <c r="M24" s="42"/>
      <c r="N24" s="42" t="str">
        <f>"helper_weight_kcal_O24"</f>
        <v>helper_weight_kcal_O24</v>
      </c>
      <c r="O24" s="42">
        <f>IFERROR((3+D12*4)*B6*3.5/200*IF(I10="",30,I10),0)</f>
        <v>236.25</v>
      </c>
      <c r="P24" s="42"/>
    </row>
    <row r="25" spans="1:18" ht="30" customHeight="1">
      <c r="A25" s="139" t="s">
        <v>61</v>
      </c>
      <c r="B25" s="128"/>
      <c r="C25" s="128"/>
      <c r="D25" s="128"/>
      <c r="E25" s="128"/>
      <c r="F25" s="128"/>
      <c r="G25" s="42"/>
      <c r="H25" s="139" t="s">
        <v>62</v>
      </c>
      <c r="I25" s="128"/>
      <c r="J25" s="128"/>
      <c r="K25" s="128"/>
      <c r="L25" s="128"/>
      <c r="M25" s="128"/>
      <c r="N25" s="42"/>
      <c r="O25" s="42"/>
      <c r="P25" s="42"/>
    </row>
    <row r="26" spans="1:18" ht="24" customHeight="1">
      <c r="A26" s="72" t="s">
        <v>63</v>
      </c>
      <c r="B26" s="72" t="s">
        <v>64</v>
      </c>
      <c r="C26" s="73" t="str">
        <f>"운동소모 참고 (O24+I22+I24)"</f>
        <v>운동소모 참고 (O24+I22+I24)</v>
      </c>
      <c r="D26" s="74" t="s">
        <v>65</v>
      </c>
      <c r="E26" s="72" t="s">
        <v>66</v>
      </c>
      <c r="F26" s="72" t="s">
        <v>67</v>
      </c>
      <c r="G26" s="42"/>
      <c r="H26" s="79" t="s">
        <v>68</v>
      </c>
      <c r="I26" s="80" t="s">
        <v>69</v>
      </c>
      <c r="J26" s="81" t="s">
        <v>70</v>
      </c>
      <c r="K26" s="80" t="s">
        <v>9</v>
      </c>
      <c r="L26" s="80" t="s">
        <v>71</v>
      </c>
      <c r="M26" s="80" t="s">
        <v>72</v>
      </c>
      <c r="N26" s="42" t="s">
        <v>73</v>
      </c>
      <c r="O26" s="42" t="s">
        <v>74</v>
      </c>
      <c r="P26" s="42" t="s">
        <v>75</v>
      </c>
    </row>
    <row r="27" spans="1:18" ht="21.75" customHeight="1">
      <c r="A27" s="85" t="s">
        <v>76</v>
      </c>
      <c r="B27" s="75">
        <f>IFERROR(기준데이터!C3*(1-D13)*(1-D9)+기준데이터!C4*D13*(1-D9)+기준데이터!C5*(1-D13)*D9+기준데이터!C6*D13*D9,"")</f>
        <v>2099.6199913690475</v>
      </c>
      <c r="C27" s="76">
        <f>IFERROR(O24+I22+I24,0)</f>
        <v>236.25</v>
      </c>
      <c r="D27" s="77">
        <f>IFERROR(B22+VLOOKUP(B13,기준데이터!$D$27:$E$29,2,FALSE()),"")</f>
        <v>2438.9749999999999</v>
      </c>
      <c r="E27" s="78" t="s">
        <v>14</v>
      </c>
      <c r="F27" s="49" t="str">
        <f>"일일 총소비(B22) + 목적별 가감"</f>
        <v>일일 총소비(B22) + 목적별 가감</v>
      </c>
      <c r="G27" s="42"/>
      <c r="H27" s="82">
        <f>IFERROR(I22,"")</f>
        <v>0</v>
      </c>
      <c r="I27" s="83">
        <f>IFERROR(I20,"")</f>
        <v>6.8095238095238102</v>
      </c>
      <c r="J27" s="84">
        <f>IFERROR(I23,"")</f>
        <v>0.40079365079365087</v>
      </c>
      <c r="K27" s="65" t="str">
        <f>I5</f>
        <v>트레드밀 워킹</v>
      </c>
      <c r="L27" s="65" t="str">
        <f>IFERROR(I6&amp;" km/h  /  "&amp;I7&amp;"%","")</f>
        <v>5 km/h  /  8%</v>
      </c>
      <c r="M27" s="65" t="str">
        <f>IFERROR(I8&amp;" 분","")</f>
        <v>0 분</v>
      </c>
      <c r="N27" s="42">
        <f>IF(B13="다이어트",2.4,IF(B13="린매스업",2.2,2))</f>
        <v>2.2000000000000002</v>
      </c>
      <c r="O27" s="42">
        <f>B6*(IF(B10="여성",0.7,0.6)+IF(B13="다이어트",0.1,0)+IF(D13&gt;=0.85,0.05,0))</f>
        <v>45</v>
      </c>
      <c r="P27" s="42">
        <f>IF(B13="다이어트",IF(D13&gt;=0.85,5,IF(D13&gt;=0.5,4.5,4)),IF(B13="린매스업",IF(D13&gt;=0.85,6,IF(D13&gt;=0.5,5.5,5)),IF(D13&gt;=0.85,7,IF(D13&gt;=0.5,6.5,6))))+IF(D9&gt;=1,0.5,IF(D9&gt;=0.5,0.25,0))+IF(I20&gt;=6,0.5,IF(I20&gt;=4.5,0.25,0))</f>
        <v>5.5</v>
      </c>
    </row>
    <row r="28" spans="1:18" ht="21.75" customHeight="1">
      <c r="A28" s="85" t="s">
        <v>77</v>
      </c>
      <c r="B28" s="75">
        <f>IFERROR(기준데이터!D3*(1-D13)*(1-D9)+기준데이터!D4*D13*(1-D9)+기준데이터!D5*(1-D13)*D9+기준데이터!D6*D13*D9,"")</f>
        <v>272.10720993080361</v>
      </c>
      <c r="C28" s="76">
        <f>IFERROR((O24+I22+I24)*0.55/4,0)</f>
        <v>32.484375</v>
      </c>
      <c r="D28" s="77">
        <f>IFERROR(MAX(0,MIN(P28,P29)),"")</f>
        <v>333.10012499999999</v>
      </c>
      <c r="E28" s="78" t="s">
        <v>78</v>
      </c>
      <c r="F28" s="49" t="s">
        <v>79</v>
      </c>
      <c r="G28" s="42"/>
      <c r="H28" s="42"/>
      <c r="I28" s="42"/>
      <c r="J28" s="42"/>
      <c r="K28" s="42"/>
      <c r="L28" s="42"/>
      <c r="M28" s="42"/>
      <c r="N28" s="42">
        <f>IF(B13="다이어트",2,IF(B13="린매스업",1.8,1.6))+IF(B8&lt;=IF(B10="남성",10,18),0.2,IF(B8&lt;=IF(B10="남성",20,28),0.1,0))+IF(D13&gt;=0.85,0.2,IF(D13&gt;=0.5,0.1,0))+IF(B10="여성",0.1,0)</f>
        <v>1.9000000000000001</v>
      </c>
      <c r="O28" s="42">
        <f>D27*IF(B13="다이어트",0.2,IF(B13="린매스업",0.22,0.25))/9</f>
        <v>59.619388888888885</v>
      </c>
      <c r="P28" s="42">
        <f>B6*P27</f>
        <v>412.5</v>
      </c>
    </row>
    <row r="29" spans="1:18" ht="21.75" customHeight="1">
      <c r="A29" s="85" t="s">
        <v>80</v>
      </c>
      <c r="B29" s="75">
        <f>IFERROR(VLOOKUP(B13,기준데이터!$D$27:$F$29,3,FALSE())*B6,"")</f>
        <v>150</v>
      </c>
      <c r="C29" s="76">
        <v>0</v>
      </c>
      <c r="D29" s="77">
        <f>IFERROR(MIN(N31,N30),"")</f>
        <v>142.5</v>
      </c>
      <c r="E29" s="78" t="s">
        <v>78</v>
      </c>
      <c r="F29" s="49" t="s">
        <v>81</v>
      </c>
      <c r="G29" s="42"/>
      <c r="H29" s="140" t="s">
        <v>82</v>
      </c>
      <c r="I29" s="141"/>
      <c r="J29" s="141"/>
      <c r="K29" s="141"/>
      <c r="L29" s="141"/>
      <c r="M29" s="141"/>
      <c r="N29" s="42">
        <f>MIN(N27,N28)</f>
        <v>1.9000000000000001</v>
      </c>
      <c r="O29" s="42">
        <f>IFERROR((D27-D29*4)*((B30*9)/(B28*4+B30*9))/9,0)</f>
        <v>56.94079441387008</v>
      </c>
      <c r="P29" s="42">
        <f>MAX(0,(D27-D29*4-O30*9)/4)</f>
        <v>333.10012499999999</v>
      </c>
    </row>
    <row r="30" spans="1:18" ht="21.75" customHeight="1">
      <c r="A30" s="85" t="s">
        <v>83</v>
      </c>
      <c r="B30" s="75">
        <f>IFERROR(기준데이터!F3*(1-D13)*(1-D9)+기준데이터!F4*D13*(1-D9)+기준데이터!F5*(1-D13)*D9+기준데이터!F6*D13*D9,"")</f>
        <v>45.687905738425918</v>
      </c>
      <c r="C30" s="76">
        <f>IFERROR((O24+I22+I24)*0.25/9,0)</f>
        <v>6.5625</v>
      </c>
      <c r="D30" s="77">
        <f>IFERROR(MAX(0,MIN(O31,(D27-D29*4-D28*4)/9)),"")</f>
        <v>59.619388888888885</v>
      </c>
      <c r="E30" s="78" t="s">
        <v>78</v>
      </c>
      <c r="F30" s="49" t="s">
        <v>84</v>
      </c>
      <c r="G30" s="42"/>
      <c r="H30" s="9" t="s">
        <v>85</v>
      </c>
      <c r="I30" s="9" t="s">
        <v>86</v>
      </c>
      <c r="J30" s="9" t="s">
        <v>87</v>
      </c>
      <c r="K30" s="9" t="s">
        <v>88</v>
      </c>
      <c r="L30" s="9" t="s">
        <v>89</v>
      </c>
      <c r="M30" s="9" t="s">
        <v>90</v>
      </c>
      <c r="N30" s="42">
        <f>D27*IF(B13="다이어트",0.35,IF(B13="린매스업",0.3,0.28))/4</f>
        <v>182.923125</v>
      </c>
      <c r="O30" s="42">
        <f>MAX(O27,O28,O29)</f>
        <v>59.619388888888885</v>
      </c>
      <c r="P30" s="42"/>
    </row>
    <row r="31" spans="1:18" ht="21.75" customHeight="1">
      <c r="A31" s="43" t="s">
        <v>91</v>
      </c>
      <c r="B31" s="1" t="s">
        <v>92</v>
      </c>
      <c r="C31" s="2">
        <f>IFERROR(I22,0)</f>
        <v>0</v>
      </c>
      <c r="D31" s="8">
        <f>IFERROR('매크로 계산기'!I22,0)</f>
        <v>0</v>
      </c>
      <c r="E31" s="6" t="s">
        <v>14</v>
      </c>
      <c r="F31" s="46" t="s">
        <v>93</v>
      </c>
      <c r="G31" s="42"/>
      <c r="H31" s="10" t="s">
        <v>94</v>
      </c>
      <c r="I31" s="10" t="s">
        <v>95</v>
      </c>
      <c r="J31" s="10" t="s">
        <v>96</v>
      </c>
      <c r="K31" s="10" t="s">
        <v>97</v>
      </c>
      <c r="L31" s="10" t="s">
        <v>98</v>
      </c>
      <c r="M31" s="10" t="s">
        <v>99</v>
      </c>
      <c r="N31" s="42">
        <f>B6*N29</f>
        <v>142.5</v>
      </c>
      <c r="O31" s="42">
        <f>MAX(0,(D27-D29*4)/9)</f>
        <v>207.66388888888889</v>
      </c>
      <c r="P31" s="42"/>
    </row>
    <row r="32" spans="1:18" ht="26.1" customHeight="1">
      <c r="A32" s="143" t="str">
        <f>"한눈에 보기"</f>
        <v>한눈에 보기</v>
      </c>
      <c r="B32" s="143"/>
      <c r="C32" s="143"/>
      <c r="D32" s="143"/>
      <c r="E32" s="143"/>
      <c r="F32" s="143"/>
      <c r="G32" s="42"/>
      <c r="H32" s="42"/>
      <c r="I32" s="42"/>
      <c r="J32" s="42"/>
      <c r="K32" s="42"/>
      <c r="L32" s="42"/>
      <c r="M32" s="42"/>
      <c r="N32" s="42" t="str">
        <f>"항목"</f>
        <v>항목</v>
      </c>
      <c r="O32" s="42" t="str">
        <f>"kcal"</f>
        <v>kcal</v>
      </c>
      <c r="P32" s="42"/>
      <c r="Q32" t="str">
        <f>"항목"</f>
        <v>항목</v>
      </c>
      <c r="R32" t="str">
        <f>"kcal"</f>
        <v>kcal</v>
      </c>
    </row>
    <row r="33" spans="1:18" ht="21.95" customHeight="1">
      <c r="A33" s="146" t="str">
        <f>"오늘 목표"</f>
        <v>오늘 목표</v>
      </c>
      <c r="B33" s="146"/>
      <c r="C33" s="146"/>
      <c r="D33" s="146" t="str">
        <f>"총 소비"</f>
        <v>총 소비</v>
      </c>
      <c r="E33" s="146"/>
      <c r="F33" s="146"/>
      <c r="G33" s="42"/>
      <c r="H33" s="124" t="str">
        <f>"자동 활동 가이드"</f>
        <v>자동 활동 가이드</v>
      </c>
      <c r="I33" s="124"/>
      <c r="J33" s="124"/>
      <c r="K33" s="124"/>
      <c r="L33" s="124"/>
      <c r="M33" s="124"/>
      <c r="N33" s="42" t="str">
        <f>"탄수화물"</f>
        <v>탄수화물</v>
      </c>
      <c r="O33" s="42">
        <f>MIN(1,MAX(0,(I34/5)*0.35+(K34/25)*0.25+(M34/4)*0.15+(I35/12000)*0.15+(D9*0.1)))</f>
        <v>0.62249999999999994</v>
      </c>
      <c r="P33" s="42" t="str">
        <f>"일반형"</f>
        <v>일반형</v>
      </c>
      <c r="Q33" t="str">
        <f>"탄수화물"</f>
        <v>탄수화물</v>
      </c>
      <c r="R33">
        <f>D28*4</f>
        <v>1332.4005</v>
      </c>
    </row>
    <row r="34" spans="1:18" ht="33.950000000000003" customHeight="1">
      <c r="A34" s="147" t="str">
        <f>IF(D27="","-",ROUND(D27,0)&amp;" kcal")</f>
        <v>2439 kcal</v>
      </c>
      <c r="B34" s="147"/>
      <c r="C34" s="147"/>
      <c r="D34" s="147" t="str">
        <f>IF(B22="","-",ROUND(B22,0)&amp;" kcal")</f>
        <v>2289 kcal</v>
      </c>
      <c r="E34" s="147"/>
      <c r="F34" s="147"/>
      <c r="G34" s="42"/>
      <c r="H34" s="98" t="str">
        <f>"주당 웨이트 횟수"</f>
        <v>주당 웨이트 횟수</v>
      </c>
      <c r="I34" s="99">
        <f>4</f>
        <v>4</v>
      </c>
      <c r="J34" s="98" t="str">
        <f>"세션당 작업세트"</f>
        <v>세션당 작업세트</v>
      </c>
      <c r="K34" s="99">
        <f>18</f>
        <v>18</v>
      </c>
      <c r="L34" s="98" t="str">
        <f>"주당 유산소 횟수"</f>
        <v>주당 유산소 횟수</v>
      </c>
      <c r="M34" s="99">
        <f>2</f>
        <v>2</v>
      </c>
      <c r="N34" s="42" t="str">
        <f>"단백질"</f>
        <v>단백질</v>
      </c>
      <c r="O34" s="42">
        <f>1.1+O33*0.15</f>
        <v>1.1933750000000001</v>
      </c>
      <c r="P34" s="42" t="str">
        <f>"활동형"</f>
        <v>활동형</v>
      </c>
      <c r="Q34" t="str">
        <f>"단백질"</f>
        <v>단백질</v>
      </c>
      <c r="R34">
        <f>D29*4</f>
        <v>570</v>
      </c>
    </row>
    <row r="35" spans="1:18" ht="33.950000000000003" customHeight="1">
      <c r="A35" s="148"/>
      <c r="B35" s="148"/>
      <c r="C35" s="148"/>
      <c r="D35" s="148"/>
      <c r="E35" s="148"/>
      <c r="F35" s="148"/>
      <c r="G35" s="42"/>
      <c r="H35" s="98" t="str">
        <f>"하루 평균 걸음수"</f>
        <v>하루 평균 걸음수</v>
      </c>
      <c r="I35" s="99">
        <f>7000</f>
        <v>7000</v>
      </c>
      <c r="J35" s="98" t="str">
        <f>"자동 판정"</f>
        <v>자동 판정</v>
      </c>
      <c r="K35" s="99" t="str">
        <f>O35</f>
        <v>활동형</v>
      </c>
      <c r="L35" s="98" t="str">
        <f>"추천 생활계수"</f>
        <v>추천 생활계수</v>
      </c>
      <c r="M35" s="102">
        <f>ROUND(O34,3)</f>
        <v>1.1930000000000001</v>
      </c>
      <c r="N35" s="42" t="str">
        <f>"지방"</f>
        <v>지방</v>
      </c>
      <c r="O35" s="42" t="str">
        <f>IF(O34&lt;1.14,P33,IF(O34&lt;1.21,P34,P35))</f>
        <v>활동형</v>
      </c>
      <c r="P35" s="42" t="str">
        <f>"고활동형"</f>
        <v>고활동형</v>
      </c>
      <c r="Q35" t="str">
        <f>"지방"</f>
        <v>지방</v>
      </c>
      <c r="R35">
        <f>D30*9</f>
        <v>536.57449999999994</v>
      </c>
    </row>
    <row r="36" spans="1:18" ht="21.95" customHeight="1">
      <c r="A36" s="149" t="str">
        <f>IF(D27="","입력값을 채우면 핵심 결과가 자동 표시됩니다.","탄 " &amp; ROUND(D28,0) &amp; "g / 단 " &amp; ROUND(D29,0) &amp; "g / 지 " &amp; ROUND(D30,0) &amp; "g 기준으로 자동 계산된 결과입니다.")</f>
        <v>탄 333g / 단 143g / 지 60g 기준으로 자동 계산된 결과입니다.</v>
      </c>
      <c r="B36" s="149"/>
      <c r="C36" s="149"/>
      <c r="D36" s="149"/>
      <c r="E36" s="149"/>
      <c r="F36" s="149"/>
      <c r="G36" s="42"/>
      <c r="H36" s="98" t="str">
        <f>"활동 점수"</f>
        <v>활동 점수</v>
      </c>
      <c r="I36" s="99">
        <f>ROUND(O33,2)</f>
        <v>0.62</v>
      </c>
      <c r="J36" s="98" t="str">
        <f>"현재 활동수준"</f>
        <v>현재 활동수준</v>
      </c>
      <c r="K36" s="99" t="str">
        <f>B11</f>
        <v>운동인</v>
      </c>
      <c r="L36" s="98" t="str">
        <f>"현재 기본계수"</f>
        <v>현재 기본계수</v>
      </c>
      <c r="M36" s="102">
        <f>ROUND(O36,3)</f>
        <v>1.175</v>
      </c>
      <c r="N36" s="42"/>
      <c r="O36" s="42">
        <f>IFERROR(VLOOKUP(B11,기준데이터!$D$12:$E$14,2,FALSE()),"")</f>
        <v>1.175</v>
      </c>
      <c r="P36" s="42" t="str">
        <f>"자동 가이드상 기본 활동계수를 조금 더 높게 보는 편이 적절합니다."</f>
        <v>자동 가이드상 기본 활동계수를 조금 더 높게 보는 편이 적절합니다.</v>
      </c>
    </row>
    <row r="37" spans="1:18" ht="21.95" customHeight="1">
      <c r="A37" s="150" t="str">
        <f>"매크로 요약"</f>
        <v>매크로 요약</v>
      </c>
      <c r="B37" s="150"/>
      <c r="C37" s="150"/>
      <c r="D37" s="150" t="str">
        <f>"칼로리 구성"</f>
        <v>칼로리 구성</v>
      </c>
      <c r="E37" s="150"/>
      <c r="F37" s="150"/>
      <c r="G37" s="42"/>
      <c r="H37" s="42" t="str">
        <f>"가이드 메모"</f>
        <v>가이드 메모</v>
      </c>
      <c r="I37" s="142" t="str">
        <f>O37&amp;CHAR(10)&amp;P39</f>
        <v>현재 선택한 활동수준이 자동 가이드와 대체로 잘 맞습니다.
웨이트 빈도, 작업세트, 유산소 빈도, 걸음수, 업무강도(Y)를 함께 반영한 자동 추천입니다.</v>
      </c>
      <c r="J37" s="142"/>
      <c r="K37" s="142"/>
      <c r="L37" s="142"/>
      <c r="M37" s="142"/>
      <c r="N37" s="42" t="str">
        <f>"항목"</f>
        <v>항목</v>
      </c>
      <c r="O37" s="42" t="str">
        <f>IF(O34-O36&gt;0.02,P36,IF(O36-O34&gt;0.02,P37,P38))</f>
        <v>현재 선택한 활동수준이 자동 가이드와 대체로 잘 맞습니다.</v>
      </c>
      <c r="P37" s="42" t="str">
        <f>"자동 가이드상 기본 활동계수를 조금 더 낮게 보는 편이 적절합니다."</f>
        <v>자동 가이드상 기본 활동계수를 조금 더 낮게 보는 편이 적절합니다.</v>
      </c>
      <c r="Q37" t="str">
        <f>"항목"</f>
        <v>항목</v>
      </c>
      <c r="R37" t="str">
        <f>"kcal"</f>
        <v>kcal</v>
      </c>
    </row>
    <row r="38" spans="1:18" ht="27.95" customHeight="1">
      <c r="A38" s="109" t="str">
        <f>"탄수화물"</f>
        <v>탄수화물</v>
      </c>
      <c r="B38" s="107" t="str">
        <f>ROUND(D28,0)&amp;" g"</f>
        <v>333 g</v>
      </c>
      <c r="C38" s="107" t="str">
        <f>ROUND(D28*4,0)&amp;" kcal"</f>
        <v>1332 kcal</v>
      </c>
      <c r="D38" s="110" t="str">
        <f>"기본소비"</f>
        <v>기본소비</v>
      </c>
      <c r="E38" s="108" t="str">
        <f>ROUND(B20,0)&amp;" kcal"</f>
        <v>2053 kcal</v>
      </c>
      <c r="F38" s="108"/>
      <c r="G38" s="42"/>
      <c r="H38" s="42"/>
      <c r="I38" s="142"/>
      <c r="J38" s="142"/>
      <c r="K38" s="142"/>
      <c r="L38" s="142"/>
      <c r="M38" s="142"/>
      <c r="N38" s="42" t="str">
        <f>"기본소비"</f>
        <v>기본소비</v>
      </c>
      <c r="O38" s="104">
        <f>B20</f>
        <v>2052.7249999999999</v>
      </c>
      <c r="P38" s="42" t="str">
        <f>"현재 선택한 활동수준이 자동 가이드와 대체로 잘 맞습니다."</f>
        <v>현재 선택한 활동수준이 자동 가이드와 대체로 잘 맞습니다.</v>
      </c>
      <c r="Q38" t="str">
        <f>"기본소비"</f>
        <v>기본소비</v>
      </c>
      <c r="R38" s="105">
        <f>B20</f>
        <v>2052.7249999999999</v>
      </c>
    </row>
    <row r="39" spans="1:18" ht="27.95" customHeight="1">
      <c r="A39" s="109" t="str">
        <f>"단백질"</f>
        <v>단백질</v>
      </c>
      <c r="B39" s="107" t="str">
        <f>ROUND(D29,0)&amp;" g"</f>
        <v>143 g</v>
      </c>
      <c r="C39" s="107" t="str">
        <f>ROUND(D29*4,0)&amp;" kcal"</f>
        <v>570 kcal</v>
      </c>
      <c r="D39" s="110" t="str">
        <f>"운동소모"</f>
        <v>운동소모</v>
      </c>
      <c r="E39" s="108" t="str">
        <f>ROUND(B21,0)&amp;" kcal"</f>
        <v>236 kcal</v>
      </c>
      <c r="F39" s="108"/>
      <c r="G39" s="42"/>
      <c r="H39" s="42"/>
      <c r="I39" s="42"/>
      <c r="J39" s="42"/>
      <c r="K39" s="42"/>
      <c r="L39" s="42"/>
      <c r="M39" s="42"/>
      <c r="N39" s="42" t="str">
        <f>"운동소모"</f>
        <v>운동소모</v>
      </c>
      <c r="O39" s="104">
        <f>B21</f>
        <v>236.25</v>
      </c>
      <c r="P39" s="42" t="str">
        <f>"웨이트 빈도, 작업세트, 유산소 빈도, 걸음수, 업무강도(Y)를 함께 반영한 자동 추천입니다."</f>
        <v>웨이트 빈도, 작업세트, 유산소 빈도, 걸음수, 업무강도(Y)를 함께 반영한 자동 추천입니다.</v>
      </c>
      <c r="Q39" t="str">
        <f>"운동소모"</f>
        <v>운동소모</v>
      </c>
      <c r="R39" s="105">
        <f>B21</f>
        <v>236.25</v>
      </c>
    </row>
    <row r="40" spans="1:18" ht="27.95" customHeight="1">
      <c r="A40" s="109" t="str">
        <f>"지방"</f>
        <v>지방</v>
      </c>
      <c r="B40" s="107" t="str">
        <f>ROUND(D30,0)&amp;" g"</f>
        <v>60 g</v>
      </c>
      <c r="C40" s="107" t="str">
        <f>ROUND(D30*9,0)&amp;" kcal"</f>
        <v>537 kcal</v>
      </c>
      <c r="D40" s="110" t="str">
        <f>"목표가감"</f>
        <v>목표가감</v>
      </c>
      <c r="E40" s="108" t="str">
        <f>IFERROR(IF(VLOOKUP(B13,기준데이터!$D$27:$E$29,2,FALSE())&gt;0,"+"&amp;ROUND(VLOOKUP(B13,기준데이터!$D$27:$E$29,2,FALSE()),0),ROUND(VLOOKUP(B13,기준데이터!$D$27:$E$29,2,FALSE()),0))&amp;" kcal","-")</f>
        <v>+150 kcal</v>
      </c>
      <c r="F40" s="108"/>
      <c r="G40" s="42"/>
      <c r="H40" s="42"/>
      <c r="I40" s="42"/>
      <c r="J40" s="42"/>
      <c r="K40" s="42"/>
      <c r="L40" s="42"/>
      <c r="M40" s="42"/>
      <c r="N40" s="42" t="str">
        <f>"목표가감"</f>
        <v>목표가감</v>
      </c>
      <c r="O40" s="42">
        <f>IFERROR(VLOOKUP(B13,기준데이터!$D$27:$E$29,2,FALSE()),0)</f>
        <v>150</v>
      </c>
      <c r="P40" s="42" t="str">
        <f>"이전/최근 7일 평균체중을 입력하면 자동 보정이 활성화됩니다."</f>
        <v>이전/최근 7일 평균체중을 입력하면 자동 보정이 활성화됩니다.</v>
      </c>
      <c r="Q40" t="str">
        <f>"목표가감"</f>
        <v>목표가감</v>
      </c>
      <c r="R40">
        <f>IFERROR(VLOOKUP(B13,기준데이터!$D$27:$E$29,2,FALSE()),0)</f>
        <v>150</v>
      </c>
    </row>
    <row r="41" spans="1:18" ht="24" customHeight="1">
      <c r="A41" s="109" t="str">
        <f>"열량 비중"</f>
        <v>열량 비중</v>
      </c>
      <c r="B41" s="151" t="str">
        <f>ROUND((D28*4)/D27*100,0)&amp;"% / "&amp;ROUND((D29*4)/D27*100,0)&amp;"% / "&amp;ROUND((D30*9)/D27*100,0)&amp;"%"</f>
        <v>55% / 23% / 22%</v>
      </c>
      <c r="C41" s="151"/>
      <c r="D41" s="110" t="str">
        <f>"자동활동"</f>
        <v>자동활동</v>
      </c>
      <c r="E41" s="108" t="str">
        <f>IF(K35="","-",K35&amp;" / "&amp;TEXT(M35,"0.000"))</f>
        <v>활동형 / 1.193</v>
      </c>
      <c r="F41" s="108"/>
      <c r="G41" s="42"/>
      <c r="H41" s="124" t="str">
        <f>"2주 자동 보정"</f>
        <v>2주 자동 보정</v>
      </c>
      <c r="I41" s="124"/>
      <c r="J41" s="124"/>
      <c r="K41" s="124"/>
      <c r="L41" s="124"/>
      <c r="M41" s="124"/>
      <c r="N41" s="42"/>
      <c r="O41" s="42"/>
      <c r="P41" s="42" t="str">
        <f>"현재 칼로리 설정은 유지해도 무난해 보입니다."</f>
        <v>현재 칼로리 설정은 유지해도 무난해 보입니다.</v>
      </c>
    </row>
    <row r="42" spans="1:18" ht="24" customHeight="1">
      <c r="A42" s="145" t="str">
        <f>IF(K35="","자동 활동 가이드 입력값을 채우면 활동수준 추천이 표시됩니다.","자동 활동 판정: " &amp; K35 &amp; " / 추천 계수 " &amp; TEXT(M35,"0.000"))</f>
        <v>자동 활동 판정: 활동형 / 추천 계수 1.193</v>
      </c>
      <c r="B42" s="145"/>
      <c r="C42" s="145"/>
      <c r="D42" s="145"/>
      <c r="E42" s="145"/>
      <c r="F42" s="145"/>
      <c r="G42" s="42"/>
      <c r="H42" s="98" t="str">
        <f>"이전 7일 평균체중"</f>
        <v>이전 7일 평균체중</v>
      </c>
      <c r="I42" s="99">
        <v>74.48</v>
      </c>
      <c r="J42" s="98" t="str">
        <f>"최근 7일 평균체중"</f>
        <v>최근 7일 평균체중</v>
      </c>
      <c r="K42" s="99">
        <v>75.02</v>
      </c>
      <c r="L42" s="98" t="str">
        <f>"허리둘레 변화 (cm)"</f>
        <v>허리둘레 변화 (cm)</v>
      </c>
      <c r="M42" s="99">
        <f>0</f>
        <v>0</v>
      </c>
      <c r="N42" s="42"/>
      <c r="O42" s="42">
        <f>IF(OR(I42="",K42=""),"",K42-I42)</f>
        <v>0.53999999999999204</v>
      </c>
      <c r="P42" s="42" t="str">
        <f>"현재 목표 기준으로 일일 "</f>
        <v xml:space="preserve">현재 목표 기준으로 일일 </v>
      </c>
    </row>
    <row r="43" spans="1:18" ht="24" customHeight="1">
      <c r="A43" s="145"/>
      <c r="B43" s="145"/>
      <c r="C43" s="145"/>
      <c r="D43" s="145"/>
      <c r="E43" s="145"/>
      <c r="F43" s="145"/>
      <c r="G43" s="42"/>
      <c r="H43" s="98" t="str">
        <f>"주간 변화폭"</f>
        <v>주간 변화폭</v>
      </c>
      <c r="I43" s="100">
        <f>IF(O42="","",ROUND(O42,2))</f>
        <v>0.54</v>
      </c>
      <c r="J43" s="101" t="str">
        <f>"목표 변화속도"</f>
        <v>목표 변화속도</v>
      </c>
      <c r="K43" s="100">
        <f>IF(O43="","",ROUND(O43,2))</f>
        <v>0.12</v>
      </c>
      <c r="L43" s="98" t="str">
        <f>"칼로리 조정값"</f>
        <v>칼로리 조정값</v>
      </c>
      <c r="M43" s="103">
        <f>O44</f>
        <v>-100</v>
      </c>
      <c r="N43" s="42"/>
      <c r="O43" s="42">
        <f>IF(O46="","",CHOOSE(O46,-0.3,0.12,0.25))</f>
        <v>0.12</v>
      </c>
      <c r="P43" s="42" t="str">
        <f>"kcal 정도 올리는 것을 검토하세요."</f>
        <v>kcal 정도 올리는 것을 검토하세요.</v>
      </c>
    </row>
    <row r="44" spans="1:18" ht="24" customHeight="1">
      <c r="A44" s="145" t="str">
        <f>IF(M43="","2주 자동 보정을 쓰려면 이전 7일 평균체중과 최근 7일 평균체중을 입력하세요.","2주 보정 제안: " &amp; IF(M43&gt;0,"+"&amp;M43,M43) &amp; " kcal/day")</f>
        <v>2주 보정 제안: -100 kcal/day</v>
      </c>
      <c r="B44" s="145"/>
      <c r="C44" s="145"/>
      <c r="D44" s="145"/>
      <c r="E44" s="145"/>
      <c r="F44" s="145"/>
      <c r="G44" s="42"/>
      <c r="H44" s="142" t="str">
        <f>O45</f>
        <v>현재 목표 기준으로 일일 100kcal 정도 낮추는 것을 검토하세요.</v>
      </c>
      <c r="I44" s="142"/>
      <c r="J44" s="142"/>
      <c r="K44" s="142"/>
      <c r="L44" s="142"/>
      <c r="M44" s="142"/>
      <c r="N44" s="42">
        <f>IFERROR(VLOOKUP(B12,기준데이터!$H$40:$I$45,2,FALSE()),0)</f>
        <v>0</v>
      </c>
      <c r="O44" s="42">
        <f>IF(OR(O42="",O46=""),"",IF(O46=1,IF(OR(O42&gt;-0.05,M42&gt;0.5),-100,IF(O42&lt;-0.6,100,0)),IF(O46=2,IF(O42&lt;0.05,100,IF(OR(O42&gt;0.25,M42&gt;0.8),-100,0)),IF(O42&lt;0.15,100,IF(OR(O42&gt;0.4,M42&gt;1),-100,0)))))</f>
        <v>-100</v>
      </c>
      <c r="P44" s="42" t="str">
        <f>"kcal 정도 낮추는 것을 검토하세요."</f>
        <v>kcal 정도 낮추는 것을 검토하세요.</v>
      </c>
    </row>
    <row r="45" spans="1:18" ht="24" customHeight="1">
      <c r="A45" s="145"/>
      <c r="B45" s="145"/>
      <c r="C45" s="145"/>
      <c r="D45" s="145"/>
      <c r="E45" s="145"/>
      <c r="F45" s="145"/>
      <c r="G45" s="42"/>
      <c r="H45" s="142"/>
      <c r="I45" s="142"/>
      <c r="J45" s="142"/>
      <c r="K45" s="142"/>
      <c r="L45" s="142"/>
      <c r="M45" s="142"/>
      <c r="N45" s="42"/>
      <c r="O45" s="42" t="str">
        <f>IF(O42="",P40,IF(O44=0,P41,IF(O44&gt;0,P42&amp;O44&amp;P43,P42&amp;ABS(O44)&amp;P44)))</f>
        <v>현재 목표 기준으로 일일 100kcal 정도 낮추는 것을 검토하세요.</v>
      </c>
      <c r="P45" s="42"/>
    </row>
    <row r="46" spans="1:18" ht="24" customHeight="1">
      <c r="A46" s="145" t="str">
        <f>"차트보다 숫자와 문장을 먼저 읽히게 구성했습니다. 더 시각적인 버전이 필요하면 다음 단계에서 별도 대시보드 탭으로 분리하는 편이 좋습니다."</f>
        <v>차트보다 숫자와 문장을 먼저 읽히게 구성했습니다. 더 시각적인 버전이 필요하면 다음 단계에서 별도 대시보드 탭으로 분리하는 편이 좋습니다.</v>
      </c>
      <c r="B46" s="145"/>
      <c r="C46" s="145"/>
      <c r="D46" s="145"/>
      <c r="E46" s="145"/>
      <c r="F46" s="145"/>
      <c r="G46" s="42"/>
      <c r="H46" s="138" t="str">
        <f>"팁: 자동 가이드와 실제 몸 반응이 잘 맞으면 현재 설정을 그대로 유지해도 됩니다."</f>
        <v>팁: 자동 가이드와 실제 몸 반응이 잘 맞으면 현재 설정을 그대로 유지해도 됩니다.</v>
      </c>
      <c r="I46" s="138"/>
      <c r="J46" s="138"/>
      <c r="K46" s="138"/>
      <c r="L46" s="138"/>
      <c r="M46" s="138"/>
      <c r="N46" s="42"/>
      <c r="O46" s="42">
        <f>IFERROR(MATCH(B13,기준데이터!$D$27:$D$29,0),"")</f>
        <v>2</v>
      </c>
      <c r="P46" s="42"/>
    </row>
    <row r="47" spans="1:18" ht="24" customHeight="1">
      <c r="A47" s="145"/>
      <c r="B47" s="145"/>
      <c r="C47" s="145"/>
      <c r="D47" s="145"/>
      <c r="E47" s="145"/>
      <c r="F47" s="145"/>
      <c r="G47" s="42"/>
      <c r="H47" s="138"/>
      <c r="I47" s="138"/>
      <c r="J47" s="138"/>
      <c r="K47" s="138"/>
      <c r="L47" s="138"/>
      <c r="M47" s="138"/>
      <c r="N47" s="42"/>
      <c r="O47" s="42"/>
      <c r="P47" s="42"/>
    </row>
  </sheetData>
  <mergeCells count="40">
    <mergeCell ref="A42:F43"/>
    <mergeCell ref="A44:F45"/>
    <mergeCell ref="D33:F33"/>
    <mergeCell ref="D34:F35"/>
    <mergeCell ref="A36:F36"/>
    <mergeCell ref="A37:C37"/>
    <mergeCell ref="B41:C41"/>
    <mergeCell ref="D37:F37"/>
    <mergeCell ref="H46:M47"/>
    <mergeCell ref="J6:M6"/>
    <mergeCell ref="A25:F25"/>
    <mergeCell ref="H29:M29"/>
    <mergeCell ref="I37:M38"/>
    <mergeCell ref="A17:F17"/>
    <mergeCell ref="J23:M23"/>
    <mergeCell ref="J9:M9"/>
    <mergeCell ref="H25:M25"/>
    <mergeCell ref="H33:M33"/>
    <mergeCell ref="A32:F32"/>
    <mergeCell ref="J8:M8"/>
    <mergeCell ref="H44:M45"/>
    <mergeCell ref="A46:F47"/>
    <mergeCell ref="A33:C33"/>
    <mergeCell ref="A34:C35"/>
    <mergeCell ref="H41:M41"/>
    <mergeCell ref="H1:M1"/>
    <mergeCell ref="A1:F1"/>
    <mergeCell ref="H4:M4"/>
    <mergeCell ref="J22:M22"/>
    <mergeCell ref="J18:M18"/>
    <mergeCell ref="J7:M7"/>
    <mergeCell ref="H2:M2"/>
    <mergeCell ref="A2:F2"/>
    <mergeCell ref="J5:M5"/>
    <mergeCell ref="J20:M20"/>
    <mergeCell ref="J21:M21"/>
    <mergeCell ref="H17:M17"/>
    <mergeCell ref="A4:B4"/>
    <mergeCell ref="J19:M19"/>
    <mergeCell ref="C4:F4"/>
  </mergeCells>
  <phoneticPr fontId="1" type="noConversion"/>
  <dataValidations count="7">
    <dataValidation type="list" sqref="B10" xr:uid="{00000000-0002-0000-0000-000000000000}">
      <formula1>"남성,여성"</formula1>
      <formula2>0</formula2>
    </dataValidation>
    <dataValidation type="list" sqref="B11" xr:uid="{00000000-0002-0000-0000-000001000000}">
      <formula1>"일반인,운동인,프로"</formula1>
      <formula2>0</formula2>
    </dataValidation>
    <dataValidation type="decimal" sqref="I7" xr:uid="{00000000-0002-0000-0000-000002000000}">
      <formula1>0</formula1>
      <formula2>15</formula2>
    </dataValidation>
    <dataValidation type="list" sqref="I5" xr:uid="{00000000-0002-0000-0000-000003000000}">
      <formula1>"트레드밀 워킹,트레드밀 러닝,실외 러닝"</formula1>
      <formula2>0</formula2>
    </dataValidation>
    <dataValidation type="list" sqref="B12" xr:uid="{00000000-0002-0000-0000-000004000000}">
      <formula1>"PUSH,PULL,LEGS,UPPER,LOWER,REST"</formula1>
      <formula2>0</formula2>
    </dataValidation>
    <dataValidation type="list" sqref="B13" xr:uid="{00000000-0002-0000-0000-000005000000}">
      <formula1>"다이어트,린매스업,벌크업"</formula1>
      <formula2>0</formula2>
    </dataValidation>
    <dataValidation type="decimal" sqref="B15:B16" xr:uid="{00000000-0002-0000-0000-000007000000}">
      <formula1>-0.2</formula1>
      <formula2>0.2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6000000}">
          <x14:formula1>
            <xm:f>기준데이터!$H$32:$H$36</xm:f>
          </x14:formula1>
          <xm:sqref>B14:B16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showGridLines="0" zoomScaleNormal="100" workbookViewId="0">
      <pane ySplit="1" topLeftCell="A10" activePane="bottomLeft" state="frozen"/>
      <selection pane="bottomLeft" activeCell="C3" sqref="C3"/>
    </sheetView>
  </sheetViews>
  <sheetFormatPr defaultColWidth="8.7109375" defaultRowHeight="15"/>
  <cols>
    <col min="1" max="1" width="10.7109375" customWidth="1"/>
    <col min="2" max="2" width="18.7109375" customWidth="1"/>
    <col min="3" max="3" width="42.7109375" customWidth="1"/>
    <col min="4" max="4" width="14.7109375" customWidth="1"/>
    <col min="5" max="6" width="12.7109375" customWidth="1"/>
    <col min="7" max="8" width="10.7109375" customWidth="1"/>
    <col min="9" max="9" width="22.7109375" customWidth="1"/>
  </cols>
  <sheetData>
    <row r="1" spans="1:9" ht="30" customHeight="1">
      <c r="A1" s="152" t="s">
        <v>100</v>
      </c>
      <c r="B1" s="153"/>
      <c r="C1" s="153"/>
      <c r="D1" s="153"/>
      <c r="E1" s="153"/>
      <c r="F1" s="153"/>
      <c r="G1" s="153"/>
      <c r="H1" s="153"/>
      <c r="I1" s="153"/>
    </row>
    <row r="2" spans="1:9" ht="24" customHeight="1">
      <c r="A2" s="11" t="s">
        <v>101</v>
      </c>
      <c r="B2" s="11" t="s">
        <v>102</v>
      </c>
      <c r="C2" s="11" t="s">
        <v>103</v>
      </c>
      <c r="D2" s="11" t="s">
        <v>104</v>
      </c>
      <c r="E2" s="11" t="s">
        <v>105</v>
      </c>
      <c r="F2" s="11" t="s">
        <v>106</v>
      </c>
      <c r="G2" s="11" t="s">
        <v>107</v>
      </c>
      <c r="H2" s="12" t="s">
        <v>108</v>
      </c>
      <c r="I2" s="12" t="s">
        <v>109</v>
      </c>
    </row>
    <row r="3" spans="1:9" ht="24" customHeight="1">
      <c r="A3" s="13" t="s">
        <v>110</v>
      </c>
      <c r="B3" s="13" t="s">
        <v>111</v>
      </c>
      <c r="C3" s="14">
        <f>IFERROR('매크로 계산기'!D6*'매크로 계산기'!D11*1,"")</f>
        <v>2052.7249999999999</v>
      </c>
      <c r="D3" s="15">
        <f>IFERROR('매크로 계산기'!D6*'매크로 계산기'!D11*1*0.51/4,"")</f>
        <v>261.72243750000001</v>
      </c>
      <c r="E3" s="15">
        <f>150</f>
        <v>150</v>
      </c>
      <c r="F3" s="15">
        <f>IFERROR(('매크로 계산기'!D6*'매크로 계산기'!D11*1-'매크로 계산기'!D6*'매크로 계산기'!D11*1*0.51-150*4)/9,"")</f>
        <v>45.092805555555543</v>
      </c>
      <c r="G3" s="16">
        <v>0</v>
      </c>
      <c r="H3" s="17">
        <v>0</v>
      </c>
      <c r="I3" s="90" t="s">
        <v>112</v>
      </c>
    </row>
    <row r="4" spans="1:9" ht="24" customHeight="1">
      <c r="A4" s="18" t="s">
        <v>113</v>
      </c>
      <c r="B4" s="18" t="s">
        <v>114</v>
      </c>
      <c r="C4" s="14">
        <f>IFERROR('매크로 계산기'!D6*'매크로 계산기'!D11*1.19,"")</f>
        <v>2442.7427499999999</v>
      </c>
      <c r="D4" s="15">
        <f>IFERROR('매크로 계산기'!D6*'매크로 계산기'!D11*1.19*0.57/4,"")</f>
        <v>348.09084187499997</v>
      </c>
      <c r="E4" s="15">
        <f>150</f>
        <v>150</v>
      </c>
      <c r="F4" s="15">
        <f>IFERROR(('매크로 계산기'!D6*'매크로 계산기'!D11*1.19-'매크로 계산기'!D6*'매크로 계산기'!D11*1.19*0.57-150*4)/9,"")</f>
        <v>50.042153611111111</v>
      </c>
      <c r="G4" s="16">
        <v>1</v>
      </c>
      <c r="H4" s="17">
        <v>0</v>
      </c>
      <c r="I4" s="90" t="s">
        <v>115</v>
      </c>
    </row>
    <row r="5" spans="1:9" ht="24" customHeight="1">
      <c r="A5" s="19" t="s">
        <v>116</v>
      </c>
      <c r="B5" s="19" t="s">
        <v>117</v>
      </c>
      <c r="C5" s="14">
        <f>IFERROR('매크로 계산기'!D6*'매크로 계산기'!D11*1.09,"")</f>
        <v>2237.4702499999999</v>
      </c>
      <c r="D5" s="15">
        <f>IFERROR('매크로 계산기'!D6*'매크로 계산기'!D11*1.09*0.55/4,"")</f>
        <v>307.652159375</v>
      </c>
      <c r="E5" s="15">
        <f>150</f>
        <v>150</v>
      </c>
      <c r="F5" s="15">
        <f>IFERROR(('매크로 계산기'!D6*'매크로 계산기'!D11*1.09-'매크로 계산기'!D6*'매크로 계산기'!D11*1.09*0.55-150*4)/9,"")</f>
        <v>45.206845833333318</v>
      </c>
      <c r="G5" s="16">
        <v>0</v>
      </c>
      <c r="H5" s="17">
        <v>1</v>
      </c>
      <c r="I5" s="90" t="s">
        <v>118</v>
      </c>
    </row>
    <row r="6" spans="1:9" ht="24" customHeight="1">
      <c r="A6" s="20" t="s">
        <v>119</v>
      </c>
      <c r="B6" s="20" t="s">
        <v>120</v>
      </c>
      <c r="C6" s="14">
        <f>IFERROR('매크로 계산기'!D6*'매크로 계산기'!D11*1.28,"")</f>
        <v>2627.4879999999998</v>
      </c>
      <c r="D6" s="15">
        <f>IFERROR('매크로 계산기'!D6*'매크로 계산기'!D11*1.28*0.58/4,"")</f>
        <v>380.98575999999997</v>
      </c>
      <c r="E6" s="15">
        <f>150</f>
        <v>150</v>
      </c>
      <c r="F6" s="15">
        <f>IFERROR(('매크로 계산기'!D6*'매크로 계산기'!D11*1.28-'매크로 계산기'!D6*'매크로 계산기'!D11*1.28*0.58-150*4)/9,"")</f>
        <v>55.949439999999996</v>
      </c>
      <c r="G6" s="16">
        <v>1</v>
      </c>
      <c r="H6" s="17">
        <v>1</v>
      </c>
      <c r="I6" s="90" t="s">
        <v>121</v>
      </c>
    </row>
    <row r="7" spans="1:9" ht="6" customHeight="1">
      <c r="A7" s="42"/>
      <c r="B7" s="42"/>
      <c r="C7" s="42"/>
      <c r="D7" s="42"/>
      <c r="E7" s="42"/>
      <c r="F7" s="42"/>
      <c r="G7" s="42"/>
      <c r="H7" s="42"/>
      <c r="I7" s="42"/>
    </row>
    <row r="8" spans="1:9" ht="27.95" customHeight="1">
      <c r="A8" s="156" t="str">
        <f>"💡  TDEE_base = BMR ×" &amp; TEXT('매크로 계산기'!D11,"0.000") &amp; "(매크로 계산기 신체정보 자동 연동)"</f>
        <v>💡  TDEE_base = BMR ×1.175(매크로 계산기 신체정보 자동 연동)</v>
      </c>
      <c r="B8" s="141"/>
      <c r="C8" s="141"/>
      <c r="D8" s="141"/>
      <c r="E8" s="141"/>
      <c r="F8" s="141"/>
      <c r="G8" s="141"/>
      <c r="H8" s="141"/>
      <c r="I8" s="141"/>
    </row>
    <row r="9" spans="1:9" ht="6" customHeight="1">
      <c r="A9" s="42"/>
      <c r="B9" s="42"/>
      <c r="C9" s="42"/>
      <c r="D9" s="42"/>
      <c r="E9" s="42"/>
      <c r="F9" s="42"/>
      <c r="G9" s="42"/>
      <c r="H9" s="42"/>
      <c r="I9" s="42"/>
    </row>
    <row r="10" spans="1:9" ht="24" customHeight="1">
      <c r="A10" s="42"/>
      <c r="B10" s="42"/>
      <c r="C10" s="33"/>
      <c r="D10" s="170" t="s">
        <v>122</v>
      </c>
      <c r="E10" s="171"/>
      <c r="F10" s="33"/>
      <c r="G10" s="33"/>
      <c r="H10" s="33"/>
      <c r="I10" s="33"/>
    </row>
    <row r="11" spans="1:9" ht="24" customHeight="1">
      <c r="A11" s="42"/>
      <c r="B11" s="42"/>
      <c r="C11" s="42"/>
      <c r="D11" s="34" t="s">
        <v>33</v>
      </c>
      <c r="E11" s="35" t="s">
        <v>35</v>
      </c>
      <c r="F11" s="42"/>
      <c r="G11" s="36"/>
      <c r="H11" s="36"/>
      <c r="I11" s="37"/>
    </row>
    <row r="12" spans="1:9" ht="24" customHeight="1">
      <c r="A12" s="42"/>
      <c r="B12" s="42"/>
      <c r="C12" s="42"/>
      <c r="D12" s="38" t="s">
        <v>123</v>
      </c>
      <c r="E12" s="21">
        <f>1.1</f>
        <v>1.1000000000000001</v>
      </c>
      <c r="F12" s="42"/>
      <c r="G12" s="22"/>
      <c r="H12" s="22"/>
      <c r="I12" s="22"/>
    </row>
    <row r="13" spans="1:9" ht="24" customHeight="1">
      <c r="A13" s="42"/>
      <c r="B13" s="42"/>
      <c r="C13" s="42"/>
      <c r="D13" s="39" t="s">
        <v>34</v>
      </c>
      <c r="E13" s="23">
        <f>1.175</f>
        <v>1.175</v>
      </c>
      <c r="F13" s="42"/>
      <c r="G13" s="24"/>
      <c r="H13" s="24"/>
      <c r="I13" s="24"/>
    </row>
    <row r="14" spans="1:9" ht="24" customHeight="1">
      <c r="A14" s="42"/>
      <c r="B14" s="42"/>
      <c r="C14" s="42"/>
      <c r="D14" s="40" t="s">
        <v>124</v>
      </c>
      <c r="E14" s="25">
        <f>1.25</f>
        <v>1.25</v>
      </c>
      <c r="F14" s="42"/>
      <c r="G14" s="26"/>
      <c r="H14" s="26"/>
      <c r="I14" s="26"/>
    </row>
    <row r="15" spans="1:9" ht="6" customHeight="1">
      <c r="A15" s="42"/>
      <c r="B15" s="42"/>
      <c r="C15" s="42"/>
      <c r="D15" s="42"/>
      <c r="E15" s="42"/>
      <c r="F15" s="42"/>
      <c r="G15" s="42"/>
      <c r="H15" s="42"/>
      <c r="I15" s="42"/>
    </row>
    <row r="16" spans="1:9" ht="26.1" customHeight="1">
      <c r="A16" s="154" t="s">
        <v>125</v>
      </c>
      <c r="B16" s="141"/>
      <c r="C16" s="141"/>
      <c r="D16" s="141"/>
      <c r="E16" s="141"/>
      <c r="F16" s="141"/>
      <c r="G16" s="141"/>
      <c r="H16" s="141"/>
      <c r="I16" s="141"/>
    </row>
    <row r="17" spans="1:9" ht="30" customHeight="1">
      <c r="A17" s="157" t="str">
        <f>IF('매크로 계산기'!B11="일반인",
"BMR(일반인)",
"BMR(운동인/프로)")</f>
        <v>BMR(운동인/프로)</v>
      </c>
      <c r="B17" s="158"/>
      <c r="C17" s="161" t="str">
        <f>IF('매크로 계산기'!B11="일반인",
"BMR = Mifflin-St Jeor 공식 적용 (키 반영)",
"BMR = Katch-McArdle 공식 적용 (LBM 기반)")</f>
        <v>BMR = Katch-McArdle 공식 적용 (LBM 기반)</v>
      </c>
      <c r="D17" s="162"/>
      <c r="E17" s="162"/>
      <c r="F17" s="162"/>
      <c r="G17" s="162"/>
      <c r="H17" s="162"/>
      <c r="I17" s="163"/>
    </row>
    <row r="18" spans="1:9" ht="30" customHeight="1">
      <c r="A18" s="157" t="s">
        <v>35</v>
      </c>
      <c r="B18" s="158"/>
      <c r="C18" s="164"/>
      <c r="D18" s="165"/>
      <c r="E18" s="165"/>
      <c r="F18" s="165"/>
      <c r="G18" s="165"/>
      <c r="H18" s="165"/>
      <c r="I18" s="166"/>
    </row>
    <row r="19" spans="1:9" ht="36" customHeight="1">
      <c r="A19" s="157" t="s">
        <v>126</v>
      </c>
      <c r="B19" s="158"/>
      <c r="C19" s="164"/>
      <c r="D19" s="165"/>
      <c r="E19" s="165"/>
      <c r="F19" s="165"/>
      <c r="G19" s="165"/>
      <c r="H19" s="165"/>
      <c r="I19" s="166"/>
    </row>
    <row r="20" spans="1:9" ht="26.1" customHeight="1">
      <c r="A20" s="157" t="s">
        <v>127</v>
      </c>
      <c r="B20" s="158"/>
      <c r="C20" s="164"/>
      <c r="D20" s="165"/>
      <c r="E20" s="165"/>
      <c r="F20" s="165"/>
      <c r="G20" s="165"/>
      <c r="H20" s="165"/>
      <c r="I20" s="166"/>
    </row>
    <row r="21" spans="1:9" ht="27.95" customHeight="1">
      <c r="A21" s="157" t="s">
        <v>128</v>
      </c>
      <c r="B21" s="158"/>
      <c r="C21" s="164"/>
      <c r="D21" s="165"/>
      <c r="E21" s="165"/>
      <c r="F21" s="165"/>
      <c r="G21" s="165"/>
      <c r="H21" s="165"/>
      <c r="I21" s="166"/>
    </row>
    <row r="22" spans="1:9" ht="27.95" customHeight="1">
      <c r="A22" s="157" t="s">
        <v>129</v>
      </c>
      <c r="B22" s="158"/>
      <c r="C22" s="164"/>
      <c r="D22" s="165"/>
      <c r="E22" s="165"/>
      <c r="F22" s="165"/>
      <c r="G22" s="165"/>
      <c r="H22" s="165"/>
      <c r="I22" s="166"/>
    </row>
    <row r="23" spans="1:9" ht="26.1" customHeight="1">
      <c r="A23" s="157" t="s">
        <v>130</v>
      </c>
      <c r="B23" s="158"/>
      <c r="C23" s="164"/>
      <c r="D23" s="165"/>
      <c r="E23" s="165"/>
      <c r="F23" s="165"/>
      <c r="G23" s="165"/>
      <c r="H23" s="165"/>
      <c r="I23" s="166"/>
    </row>
    <row r="24" spans="1:9" ht="24" customHeight="1">
      <c r="A24" s="157" t="s">
        <v>70</v>
      </c>
      <c r="B24" s="158"/>
      <c r="C24" s="167"/>
      <c r="D24" s="168"/>
      <c r="E24" s="168"/>
      <c r="F24" s="168"/>
      <c r="G24" s="168"/>
      <c r="H24" s="168"/>
      <c r="I24" s="169"/>
    </row>
    <row r="25" spans="1:9" ht="26.1" customHeight="1">
      <c r="A25" s="42"/>
      <c r="B25" s="42"/>
      <c r="C25" s="42"/>
      <c r="D25" s="159" t="s">
        <v>131</v>
      </c>
      <c r="E25" s="160"/>
      <c r="F25" s="160"/>
      <c r="G25" s="160"/>
      <c r="H25" s="42"/>
      <c r="I25" s="42"/>
    </row>
    <row r="26" spans="1:9" ht="24" customHeight="1">
      <c r="A26" s="42"/>
      <c r="B26" s="42"/>
      <c r="C26" s="42"/>
      <c r="D26" s="12" t="s">
        <v>132</v>
      </c>
      <c r="E26" s="12" t="str">
        <f>"칼로리 가감(kcal)"</f>
        <v>칼로리 가감(kcal)</v>
      </c>
      <c r="F26" s="12" t="s">
        <v>133</v>
      </c>
      <c r="G26" s="12" t="s">
        <v>134</v>
      </c>
      <c r="H26" s="42"/>
      <c r="I26" s="42"/>
    </row>
    <row r="27" spans="1:9" ht="24" customHeight="1">
      <c r="A27" s="42"/>
      <c r="B27" s="42"/>
      <c r="C27" s="42"/>
      <c r="D27" s="41" t="s">
        <v>135</v>
      </c>
      <c r="E27" s="27">
        <f>-400</f>
        <v>-400</v>
      </c>
      <c r="F27" s="28">
        <v>2.2000000000000002</v>
      </c>
      <c r="G27" s="27">
        <v>0.12</v>
      </c>
      <c r="H27" s="42"/>
      <c r="I27" s="42"/>
    </row>
    <row r="28" spans="1:9" ht="24" customHeight="1">
      <c r="A28" s="42"/>
      <c r="B28" s="42"/>
      <c r="C28" s="42"/>
      <c r="D28" s="18" t="s">
        <v>40</v>
      </c>
      <c r="E28" s="29">
        <f>150</f>
        <v>150</v>
      </c>
      <c r="F28" s="30">
        <v>2</v>
      </c>
      <c r="G28" s="29">
        <v>7.0000000000000007E-2</v>
      </c>
      <c r="H28" s="42"/>
      <c r="I28" s="42"/>
    </row>
    <row r="29" spans="1:9" ht="21.75" customHeight="1">
      <c r="A29" s="42"/>
      <c r="B29" s="42"/>
      <c r="C29" s="42"/>
      <c r="D29" s="13" t="s">
        <v>136</v>
      </c>
      <c r="E29" s="31">
        <f>400</f>
        <v>400</v>
      </c>
      <c r="F29" s="32">
        <v>1.8</v>
      </c>
      <c r="G29" s="31">
        <v>0</v>
      </c>
      <c r="H29" s="42"/>
      <c r="I29" s="42"/>
    </row>
    <row r="30" spans="1:9" ht="15" customHeight="1">
      <c r="A30" s="42"/>
      <c r="B30" s="42"/>
      <c r="C30" s="42"/>
      <c r="D30" s="155" t="str">
        <f>"칼로리 가감: 다이어트=-400 / 린매스업=+150 / 벌크업=+400  |  EPOC: MET&gt;6일 때만 활성화, 저강도 유산소는 자동 0"</f>
        <v>칼로리 가감: 다이어트=-400 / 린매스업=+150 / 벌크업=+400  |  EPOC: MET&gt;6일 때만 활성화, 저강도 유산소는 자동 0</v>
      </c>
      <c r="E30" s="130"/>
      <c r="F30" s="130"/>
      <c r="G30" s="130"/>
      <c r="H30" s="42"/>
      <c r="I30" s="42"/>
    </row>
    <row r="31" spans="1:9" ht="24" customHeight="1">
      <c r="A31" s="42"/>
      <c r="B31" s="42"/>
      <c r="C31" s="42"/>
      <c r="D31" s="42"/>
      <c r="E31" s="42"/>
      <c r="F31" s="42"/>
      <c r="G31" s="42"/>
      <c r="H31" s="88" t="s">
        <v>137</v>
      </c>
      <c r="I31" s="87" t="s">
        <v>138</v>
      </c>
    </row>
    <row r="32" spans="1:9" ht="24" customHeight="1">
      <c r="A32" s="42"/>
      <c r="B32" s="42"/>
      <c r="C32" s="42"/>
      <c r="D32" s="42"/>
      <c r="E32" s="42"/>
      <c r="F32" s="42"/>
      <c r="G32" s="42"/>
      <c r="H32" s="89" t="s">
        <v>139</v>
      </c>
      <c r="I32" s="89">
        <v>0</v>
      </c>
    </row>
    <row r="33" spans="1:9" ht="24" customHeight="1">
      <c r="A33" s="42"/>
      <c r="B33" s="42"/>
      <c r="C33" s="42"/>
      <c r="D33" s="42"/>
      <c r="E33" s="42"/>
      <c r="F33" s="42"/>
      <c r="G33" s="42"/>
      <c r="H33" s="47" t="s">
        <v>140</v>
      </c>
      <c r="I33" s="47">
        <v>0.25</v>
      </c>
    </row>
    <row r="34" spans="1:9" ht="24" customHeight="1">
      <c r="A34" s="42"/>
      <c r="B34" s="42"/>
      <c r="C34" s="42"/>
      <c r="D34" s="42"/>
      <c r="E34" s="42"/>
      <c r="F34" s="42"/>
      <c r="G34" s="42"/>
      <c r="H34" s="47" t="s">
        <v>141</v>
      </c>
      <c r="I34" s="47">
        <v>0.5</v>
      </c>
    </row>
    <row r="35" spans="1:9" ht="24" customHeight="1">
      <c r="A35" s="42"/>
      <c r="B35" s="42"/>
      <c r="C35" s="42"/>
      <c r="D35" s="42"/>
      <c r="E35" s="42"/>
      <c r="F35" s="42"/>
      <c r="G35" s="42"/>
      <c r="H35" s="47" t="s">
        <v>142</v>
      </c>
      <c r="I35" s="47">
        <v>0.75</v>
      </c>
    </row>
    <row r="36" spans="1:9" ht="24" customHeight="1">
      <c r="A36" s="42"/>
      <c r="B36" s="42"/>
      <c r="C36" s="42"/>
      <c r="D36" s="42"/>
      <c r="E36" s="42"/>
      <c r="F36" s="42"/>
      <c r="G36" s="42"/>
      <c r="H36" s="47" t="s">
        <v>43</v>
      </c>
      <c r="I36" s="47">
        <v>1</v>
      </c>
    </row>
    <row r="39" spans="1:9">
      <c r="H39" t="str">
        <f>"루틴"</f>
        <v>루틴</v>
      </c>
      <c r="I39" t="str">
        <f>"웨이트강도(Xw)"</f>
        <v>웨이트강도(Xw)</v>
      </c>
    </row>
    <row r="40" spans="1:9">
      <c r="H40" t="str">
        <f>"REST"</f>
        <v>REST</v>
      </c>
      <c r="I40">
        <f>0</f>
        <v>0</v>
      </c>
    </row>
    <row r="41" spans="1:9">
      <c r="H41" t="str">
        <f>"PUSH"</f>
        <v>PUSH</v>
      </c>
      <c r="I41">
        <f>0.8</f>
        <v>0.8</v>
      </c>
    </row>
    <row r="42" spans="1:9">
      <c r="H42" t="str">
        <f>"UPPER"</f>
        <v>UPPER</v>
      </c>
      <c r="I42">
        <f>0.8</f>
        <v>0.8</v>
      </c>
    </row>
    <row r="43" spans="1:9">
      <c r="H43" t="str">
        <f>"PULL"</f>
        <v>PULL</v>
      </c>
      <c r="I43">
        <f>0.85</f>
        <v>0.85</v>
      </c>
    </row>
    <row r="44" spans="1:9">
      <c r="H44" t="str">
        <f>"LOWER"</f>
        <v>LOWER</v>
      </c>
      <c r="I44">
        <f>0.85</f>
        <v>0.85</v>
      </c>
    </row>
    <row r="45" spans="1:9">
      <c r="H45" t="str">
        <f>"LEGS"</f>
        <v>LEGS</v>
      </c>
      <c r="I45">
        <f>1</f>
        <v>1</v>
      </c>
    </row>
  </sheetData>
  <mergeCells count="15">
    <mergeCell ref="A1:I1"/>
    <mergeCell ref="A16:I16"/>
    <mergeCell ref="D30:G30"/>
    <mergeCell ref="A8:I8"/>
    <mergeCell ref="A18:B18"/>
    <mergeCell ref="A21:B21"/>
    <mergeCell ref="A17:B17"/>
    <mergeCell ref="A23:B23"/>
    <mergeCell ref="A22:B22"/>
    <mergeCell ref="A20:B20"/>
    <mergeCell ref="A19:B19"/>
    <mergeCell ref="D25:G25"/>
    <mergeCell ref="C17:I24"/>
    <mergeCell ref="A24:B24"/>
    <mergeCell ref="D10:E10"/>
  </mergeCells>
  <phoneticPr fontId="1" type="noConversion"/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대시보드</vt:lpstr>
      <vt:lpstr>매크로 계산기</vt:lpstr>
      <vt:lpstr>기준데이터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MX7660</cp:lastModifiedBy>
  <cp:revision>0</cp:revision>
  <dcterms:created xsi:type="dcterms:W3CDTF">2026-04-21T03:14:10Z</dcterms:created>
  <dcterms:modified xsi:type="dcterms:W3CDTF">2026-04-21T22:48:26Z</dcterms:modified>
  <dc:language>en-US</dc:language>
</cp:coreProperties>
</file>